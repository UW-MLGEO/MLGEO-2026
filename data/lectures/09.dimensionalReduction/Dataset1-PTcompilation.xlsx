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08"/>
  <workbookPr defaultThemeVersion="166925"/>
  <mc:AlternateContent xmlns:mc="http://schemas.openxmlformats.org/markup-compatibility/2006">
    <mc:Choice Requires="x15">
      <x15ac:absPath xmlns:x15ac="http://schemas.microsoft.com/office/spreadsheetml/2010/11/ac" url="/Users/aus702/Desktop/CurrentProjects/Interface/Paper1/draft_June18/"/>
    </mc:Choice>
  </mc:AlternateContent>
  <xr:revisionPtr revIDLastSave="0" documentId="13_ncr:1_{E520D1EA-21AE-5646-BF5F-CBC0E66C7010}" xr6:coauthVersionLast="45" xr6:coauthVersionMax="45" xr10:uidLastSave="{00000000-0000-0000-0000-000000000000}"/>
  <bookViews>
    <workbookView xWindow="0" yWindow="500" windowWidth="28800" windowHeight="16300" xr2:uid="{39EFEA8C-46C5-664B-8398-ABCBB2D8283B}"/>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253" i="1" l="1"/>
  <c r="B252" i="1"/>
  <c r="D167" i="1"/>
  <c r="B123" i="1"/>
  <c r="B83" i="1"/>
  <c r="B82" i="1"/>
  <c r="B79" i="1"/>
  <c r="B70" i="1"/>
  <c r="B68" i="1"/>
  <c r="B67" i="1"/>
  <c r="D58" i="1"/>
  <c r="B58" i="1"/>
  <c r="D27" i="1"/>
  <c r="B25" i="1"/>
  <c r="D24" i="1"/>
  <c r="B24" i="1"/>
  <c r="D23" i="1"/>
  <c r="B23"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tc={54D77B17-9C81-C341-99F1-9B55974AA4D6}</author>
    <author>tc={CD720075-13A1-F74F-BDE9-BE016F3F9712}</author>
    <author>Microsoft Office User</author>
  </authors>
  <commentList>
    <comment ref="I3" authorId="0" shapeId="0" xr:uid="{54D77B17-9C81-C341-99F1-9B55974AA4D6}">
      <text>
        <t>[Threaded comment]
Your version of Excel allows you to read this threaded comment; however, any edits to it will get removed if the file is opened in a newer version of Excel. Learn more: https://go.microsoft.com/fwlink/?linkid=870924
Comment:
    N = nappe
MS = block in serpentinite
MM = block in metasediments</t>
      </text>
    </comment>
    <comment ref="J3" authorId="1" shapeId="0" xr:uid="{CD720075-13A1-F74F-BDE9-BE016F3F9712}">
      <text>
        <t>[Threaded comment]
Your version of Excel allows you to read this threaded comment; however, any edits to it will get removed if the file is opened in a newer version of Excel. Learn more: https://go.microsoft.com/fwlink/?linkid=870924
Comment:
    AVPT = average PT
PS = pseudosection
GBR = conventional thermobarometry
PTGRD = petrogenetic grid
RM = raman thermobarometry
T = solution thermometry</t>
      </text>
    </comment>
    <comment ref="E126" authorId="2" shapeId="0" xr:uid="{BAE93C6A-4075-4D44-AC95-1DC01D8F8B37}">
      <text>
        <r>
          <rPr>
            <b/>
            <sz val="10"/>
            <color indexed="81"/>
            <rFont val="Calibri"/>
            <family val="2"/>
          </rPr>
          <t>Microsoft Office User:</t>
        </r>
        <r>
          <rPr>
            <sz val="10"/>
            <color indexed="81"/>
            <rFont val="Calibri"/>
            <family val="2"/>
          </rPr>
          <t xml:space="preserve">
Pseudosection-based - no formal errors
</t>
        </r>
      </text>
    </comment>
  </commentList>
</comments>
</file>

<file path=xl/sharedStrings.xml><?xml version="1.0" encoding="utf-8"?>
<sst xmlns="http://schemas.openxmlformats.org/spreadsheetml/2006/main" count="1965" uniqueCount="561">
  <si>
    <t>Reference</t>
  </si>
  <si>
    <t>T (°C)</t>
  </si>
  <si>
    <t>P (GPa)</t>
    <phoneticPr fontId="0" type="noConversion"/>
  </si>
  <si>
    <t>Country</t>
  </si>
  <si>
    <t>Region</t>
  </si>
  <si>
    <t>Type of subduction</t>
  </si>
  <si>
    <t>Structural setting</t>
  </si>
  <si>
    <t>Method</t>
  </si>
  <si>
    <t>Rolland et al., 2009</t>
  </si>
  <si>
    <t>Armenia</t>
  </si>
  <si>
    <t>Amassia-Stepanavan Suture</t>
  </si>
  <si>
    <t>O</t>
  </si>
  <si>
    <t>N</t>
  </si>
  <si>
    <t>AVPT</t>
  </si>
  <si>
    <t>Hoschek, 2007</t>
  </si>
  <si>
    <t>Austria</t>
  </si>
  <si>
    <t>Tauern Window, Eclogite Zone</t>
  </si>
  <si>
    <t>PS</t>
  </si>
  <si>
    <t>Hoschek et al., 2010</t>
  </si>
  <si>
    <t>Kurz et al., 1998</t>
  </si>
  <si>
    <t>Miller et al., 2007</t>
  </si>
  <si>
    <t>Selverstone et al., 1992</t>
  </si>
  <si>
    <t>GBR</t>
  </si>
  <si>
    <t>Smye et al., 2011</t>
  </si>
  <si>
    <t>Stockhert et al., 1997</t>
  </si>
  <si>
    <t>PTGRD</t>
  </si>
  <si>
    <t>Konzett et al., 2012</t>
  </si>
  <si>
    <t>Tauern Window Polinek Complex</t>
  </si>
  <si>
    <t>O + C</t>
  </si>
  <si>
    <t>Dachs and Proyer, 2001</t>
  </si>
  <si>
    <t>Tauern Window, Grossglockner</t>
  </si>
  <si>
    <t>Ghent et al., 2009</t>
    <phoneticPr fontId="0" type="noConversion"/>
  </si>
  <si>
    <t>Canada</t>
  </si>
  <si>
    <t>Pinchi Lake</t>
  </si>
  <si>
    <t>?</t>
  </si>
  <si>
    <t>Willner et al., 2001</t>
  </si>
  <si>
    <t>Chile</t>
  </si>
  <si>
    <t>Bahia Mansa</t>
  </si>
  <si>
    <t>Willner et al. 2000</t>
    <phoneticPr fontId="0" type="noConversion"/>
  </si>
  <si>
    <t>Chonos Archipelago</t>
  </si>
  <si>
    <t>Ramirez-Sanchez et al. 2005</t>
  </si>
  <si>
    <t>Chonos Metamorphic Complex</t>
  </si>
  <si>
    <t>Willner 2005</t>
    <phoneticPr fontId="0" type="noConversion"/>
  </si>
  <si>
    <t>Coastal Cordillera</t>
  </si>
  <si>
    <t>Plissart et al 2019</t>
  </si>
  <si>
    <t>La Cabana, Coastal Range</t>
  </si>
  <si>
    <t>Willner et al., 2004</t>
    <phoneticPr fontId="0" type="noConversion"/>
  </si>
  <si>
    <t>Los Pabilos, Coastal Cordillera</t>
  </si>
  <si>
    <t>MS</t>
  </si>
  <si>
    <t>Hyppolito et al., 2016</t>
  </si>
  <si>
    <t>Patagonia</t>
  </si>
  <si>
    <t>Hyppolito et al., 2014</t>
    <phoneticPr fontId="0" type="noConversion"/>
  </si>
  <si>
    <t>Punta Sirena</t>
  </si>
  <si>
    <t>Nakajima et al. 1990</t>
  </si>
  <si>
    <t>China</t>
  </si>
  <si>
    <t>Aksu</t>
  </si>
  <si>
    <t>O + TC</t>
  </si>
  <si>
    <t>Liu et al. 2011</t>
    <phoneticPr fontId="0" type="noConversion"/>
  </si>
  <si>
    <t>Qiangtang, Tibet</t>
  </si>
  <si>
    <t>Song et al., 2009</t>
    <phoneticPr fontId="0" type="noConversion"/>
  </si>
  <si>
    <t>Qilian Mountains</t>
  </si>
  <si>
    <t>Zhang et al. 2009</t>
    <phoneticPr fontId="0" type="noConversion"/>
  </si>
  <si>
    <t>John et al. 2008</t>
    <phoneticPr fontId="0" type="noConversion"/>
  </si>
  <si>
    <t>Tianshan</t>
  </si>
  <si>
    <t>Klemd et al. 2002</t>
  </si>
  <si>
    <t>John et al. 2008</t>
  </si>
  <si>
    <t>Lu et al 2008</t>
  </si>
  <si>
    <t>Lu et al 2009</t>
  </si>
  <si>
    <t>Beinlich et al 2010</t>
  </si>
  <si>
    <t>Klemd et al. 2015</t>
  </si>
  <si>
    <t>Klemd et al. 2011</t>
  </si>
  <si>
    <t>Lu et al 2007</t>
  </si>
  <si>
    <t>Wei et al 2009</t>
  </si>
  <si>
    <t>Li et al. 2012</t>
  </si>
  <si>
    <t>Tian and Wei 2014</t>
    <phoneticPr fontId="0" type="noConversion"/>
  </si>
  <si>
    <t>van der Straaten et al. 2008</t>
    <phoneticPr fontId="0" type="noConversion"/>
  </si>
  <si>
    <t>Bayet et al 2018</t>
  </si>
  <si>
    <t>O+TC</t>
  </si>
  <si>
    <t>Tan et al 2017</t>
  </si>
  <si>
    <t>W. TianShan, Atantayi valley</t>
  </si>
  <si>
    <t>Draper and Barros, 1994</t>
  </si>
  <si>
    <t>Cuba</t>
  </si>
  <si>
    <t>Escambray</t>
  </si>
  <si>
    <t>IO</t>
  </si>
  <si>
    <t>Garcia-Casco et al., 2006</t>
  </si>
  <si>
    <t>Schneider et al., 2004</t>
  </si>
  <si>
    <t>IO/OC</t>
  </si>
  <si>
    <t>Garcia-Casco et al. 2002</t>
  </si>
  <si>
    <t>Northern Serpentinite Melange</t>
  </si>
  <si>
    <t>Stanek et al. 2006</t>
  </si>
  <si>
    <t>Sancti Spiritus dome</t>
  </si>
  <si>
    <t>Sierra del Convento Melange</t>
  </si>
  <si>
    <t>Garcia-Casco et al., 2008</t>
  </si>
  <si>
    <t>Western Cuba</t>
  </si>
  <si>
    <t>Gabriele et al., 2003</t>
  </si>
  <si>
    <t>Ecuador</t>
  </si>
  <si>
    <t>Raspas Complex</t>
  </si>
  <si>
    <t>John et al. 2010</t>
    <phoneticPr fontId="0" type="noConversion"/>
  </si>
  <si>
    <t>Smye et al 2010</t>
  </si>
  <si>
    <t>Vitale Brovarone et al., 2011</t>
  </si>
  <si>
    <t>France</t>
  </si>
  <si>
    <t>Corsica</t>
  </si>
  <si>
    <t>Ravna et al., 2010</t>
    <phoneticPr fontId="0" type="noConversion"/>
  </si>
  <si>
    <t>Corsica</t>
    <phoneticPr fontId="0" type="noConversion"/>
  </si>
  <si>
    <t>Tricart and Schwartz, 2006</t>
  </si>
  <si>
    <t>southern Queyras</t>
    <phoneticPr fontId="0" type="noConversion"/>
  </si>
  <si>
    <t>southern Queyras, unit III</t>
    <phoneticPr fontId="0" type="noConversion"/>
  </si>
  <si>
    <t>southern Queyras, unit IV</t>
    <phoneticPr fontId="0" type="noConversion"/>
  </si>
  <si>
    <t>Ganne et al., 2003</t>
    <phoneticPr fontId="0" type="noConversion"/>
  </si>
  <si>
    <t>France/Italy</t>
  </si>
  <si>
    <t>Brianconnais, Ambin Dome</t>
    <phoneticPr fontId="0" type="noConversion"/>
  </si>
  <si>
    <t>Agard et al., 2000</t>
    <phoneticPr fontId="0" type="noConversion"/>
  </si>
  <si>
    <t>Schistes Lustres</t>
    <phoneticPr fontId="0" type="noConversion"/>
  </si>
  <si>
    <t>Plunder et al., 2012</t>
    <phoneticPr fontId="0" type="noConversion"/>
  </si>
  <si>
    <t>Agard et al., 2001</t>
    <phoneticPr fontId="0" type="noConversion"/>
  </si>
  <si>
    <t>W. of Dora Maira</t>
    <phoneticPr fontId="0" type="noConversion"/>
  </si>
  <si>
    <t>Viete et al 2018</t>
  </si>
  <si>
    <t>Franciscan</t>
  </si>
  <si>
    <t>Tiburon block</t>
  </si>
  <si>
    <t>Tortorici et al., 2012</t>
  </si>
  <si>
    <t>Greece</t>
  </si>
  <si>
    <t>Crete</t>
  </si>
  <si>
    <t>Katzir et al., 2000</t>
  </si>
  <si>
    <t>Evia</t>
  </si>
  <si>
    <t>Mposkos et al., 2012</t>
  </si>
  <si>
    <t>Kechros</t>
  </si>
  <si>
    <t>Baziotis et al. 2009</t>
  </si>
  <si>
    <t>Lavrion</t>
  </si>
  <si>
    <t>Scheffer et al. 2016</t>
  </si>
  <si>
    <t>Schermer, 1990</t>
  </si>
  <si>
    <t>Mt Olympus</t>
  </si>
  <si>
    <t>Feenstra et al. 2007</t>
  </si>
  <si>
    <t>Samos</t>
  </si>
  <si>
    <t>Will et al. 1998</t>
  </si>
  <si>
    <t>Ashley et al. 2014</t>
  </si>
  <si>
    <t>Sifnos</t>
  </si>
  <si>
    <t>RM</t>
  </si>
  <si>
    <t>Dragovic et al. 2015</t>
  </si>
  <si>
    <t>Dragovic et al. 2012</t>
  </si>
  <si>
    <t>Groppo et al. 2009</t>
  </si>
  <si>
    <t>Rosenbaum et al. 2002</t>
  </si>
  <si>
    <t>Schmadicke and Will 2003</t>
  </si>
  <si>
    <t>Spear et al. 2006</t>
  </si>
  <si>
    <t>T</t>
  </si>
  <si>
    <t>Trotet et al. 2001</t>
  </si>
  <si>
    <t>Okrusch and Broecker, 1990</t>
  </si>
  <si>
    <t>Syros</t>
  </si>
  <si>
    <t>Schumacher et al. 2008</t>
  </si>
  <si>
    <t>Thomas et al. 2010</t>
  </si>
  <si>
    <t>Behr et al 2018</t>
  </si>
  <si>
    <t>Harlow et al., 2011</t>
  </si>
  <si>
    <t>Guatemala</t>
  </si>
  <si>
    <t>Carrizal Grande</t>
  </si>
  <si>
    <t>Martens et al. 2012</t>
    <phoneticPr fontId="0" type="noConversion"/>
  </si>
  <si>
    <t>Chuacus Complex</t>
  </si>
  <si>
    <t>Maldonado et al 2018</t>
  </si>
  <si>
    <t>Chuacus complex (Guatemala Suture Zone)</t>
  </si>
  <si>
    <t>La Ceiba</t>
  </si>
  <si>
    <t>La Ensenada</t>
  </si>
  <si>
    <t>Endo et al. 2012</t>
    <phoneticPr fontId="0" type="noConversion"/>
  </si>
  <si>
    <t>Motagua Fault Zone</t>
  </si>
  <si>
    <t>Marroni et al. 2009</t>
    <phoneticPr fontId="0" type="noConversion"/>
  </si>
  <si>
    <t>MS,MM</t>
  </si>
  <si>
    <t>Tsujimori et al. 2005</t>
    <phoneticPr fontId="0" type="noConversion"/>
  </si>
  <si>
    <t>North of Motagua fault</t>
  </si>
  <si>
    <t>Ao and Bhowmik, 2014</t>
    <phoneticPr fontId="0" type="noConversion"/>
  </si>
  <si>
    <t>India</t>
  </si>
  <si>
    <t>Nagaland</t>
  </si>
  <si>
    <t>Parkinson et al., 1998</t>
  </si>
  <si>
    <t>Indonesia</t>
  </si>
  <si>
    <t>Barru complex</t>
  </si>
  <si>
    <t>Torabi and Arai, 2013</t>
  </si>
  <si>
    <t>Iran</t>
  </si>
  <si>
    <t>Anarak region</t>
  </si>
  <si>
    <t>Torabi, 2011</t>
  </si>
  <si>
    <t>Fotoohi Rad et al., 2005</t>
  </si>
  <si>
    <t>Gazik</t>
  </si>
  <si>
    <t>MM</t>
  </si>
  <si>
    <t>Omrani et al 2016</t>
  </si>
  <si>
    <t>Makran; Iranshahr blueschist</t>
  </si>
  <si>
    <t>Davoudian et al., 2008</t>
  </si>
  <si>
    <t>Sanandaj-Sirjan</t>
  </si>
  <si>
    <t>Omrani et al., 2013</t>
  </si>
  <si>
    <t>Shanderman</t>
  </si>
  <si>
    <t>Oberhänsli et al., 2007</t>
  </si>
  <si>
    <t>Sorkhan</t>
  </si>
  <si>
    <t>Sulabest</t>
  </si>
  <si>
    <t>Agard et al. 2006</t>
  </si>
  <si>
    <t>Zagros</t>
  </si>
  <si>
    <t>Angiboust et al. 2016</t>
  </si>
  <si>
    <t>Reinecke, 1998</t>
    <phoneticPr fontId="0" type="noConversion"/>
  </si>
  <si>
    <t>Italy</t>
  </si>
  <si>
    <t>Cignana</t>
    <phoneticPr fontId="0" type="noConversion"/>
  </si>
  <si>
    <t>Reddy et al., 1999</t>
  </si>
  <si>
    <t>Combin zone</t>
  </si>
  <si>
    <t>Brouwer et al., 2002</t>
    <phoneticPr fontId="0" type="noConversion"/>
  </si>
  <si>
    <t>Gran Paradiso</t>
    <phoneticPr fontId="0" type="noConversion"/>
  </si>
  <si>
    <t>O+ C</t>
  </si>
  <si>
    <t>Gabudianu Radulescu et al., 2009</t>
  </si>
  <si>
    <t>Le Bayon et al., 2006</t>
  </si>
  <si>
    <t>Gran Paradiso, Gneiss Minuti Complex</t>
    <phoneticPr fontId="0" type="noConversion"/>
  </si>
  <si>
    <t>Gasco et al., 2011</t>
    <phoneticPr fontId="0" type="noConversion"/>
  </si>
  <si>
    <t>Monte Rosa</t>
    <phoneticPr fontId="0" type="noConversion"/>
  </si>
  <si>
    <t>Castelli et al. 2002</t>
    <phoneticPr fontId="0" type="noConversion"/>
  </si>
  <si>
    <t>Monviso</t>
    <phoneticPr fontId="0" type="noConversion"/>
  </si>
  <si>
    <t>Groppo and Castelli, 2010</t>
    <phoneticPr fontId="0" type="noConversion"/>
  </si>
  <si>
    <t>Angiboust et al. 2011</t>
    <phoneticPr fontId="0" type="noConversion"/>
  </si>
  <si>
    <t>Monviso, Lago Superiore</t>
    <phoneticPr fontId="0" type="noConversion"/>
  </si>
  <si>
    <t>Schwartz et al. 2000</t>
    <phoneticPr fontId="0" type="noConversion"/>
  </si>
  <si>
    <t>Monviso, Viso Mozzo/Passo Gallarino</t>
    <phoneticPr fontId="0" type="noConversion"/>
  </si>
  <si>
    <t>Sesia; Eclogitic Micaschist Unit</t>
  </si>
  <si>
    <t>Federico et al., 2004</t>
    <phoneticPr fontId="0" type="noConversion"/>
  </si>
  <si>
    <t>Voltri</t>
    <phoneticPr fontId="0" type="noConversion"/>
  </si>
  <si>
    <t>Federico et al., 2004</t>
  </si>
  <si>
    <t>Voltri</t>
  </si>
  <si>
    <t>Abbott et al., 2003</t>
  </si>
  <si>
    <t>Jamaica</t>
  </si>
  <si>
    <t>Blue Mountain inlier</t>
  </si>
  <si>
    <t>Taguchi et al 2018</t>
  </si>
  <si>
    <t>Japan</t>
  </si>
  <si>
    <t>Asemi‐gawa region, central Shikoku</t>
  </si>
  <si>
    <t>Ota et al. 2004</t>
  </si>
  <si>
    <t>Iratsu eclogite, Sanbagawa</t>
  </si>
  <si>
    <t>Matsumoto et al. 2003</t>
  </si>
  <si>
    <t>Kotsu</t>
  </si>
  <si>
    <t>Miyazaki et al., 2013</t>
  </si>
  <si>
    <t>Nagasaki Metamorphic Complex</t>
  </si>
  <si>
    <t>Enami et al., 1994</t>
  </si>
  <si>
    <t>Nishisonogi</t>
  </si>
  <si>
    <t>Tsujimori and Liou, 2005</t>
  </si>
  <si>
    <t>Osayama</t>
  </si>
  <si>
    <t>Tsujimori and Liou, 2007</t>
    <phoneticPr fontId="0" type="noConversion"/>
  </si>
  <si>
    <t>Renge Metamorphic Rocks, Chugoku Mountains</t>
    <phoneticPr fontId="0" type="noConversion"/>
  </si>
  <si>
    <t>Inui and Toriumi, 2002</t>
  </si>
  <si>
    <t>Sambagawa, Shikoku</t>
  </si>
  <si>
    <t>Ko et al. 2005</t>
  </si>
  <si>
    <t>Sanbagawa, Shikoku</t>
  </si>
  <si>
    <t>Weller et al., 2015</t>
  </si>
  <si>
    <t>Sangabawa</t>
  </si>
  <si>
    <t>Sangabawa; Beshi</t>
  </si>
  <si>
    <t>Sangabawa; Kotsu</t>
  </si>
  <si>
    <t>Aoki et al., 2008</t>
  </si>
  <si>
    <t>Shimanto</t>
  </si>
  <si>
    <t>Aoki et al., 2009</t>
    <phoneticPr fontId="0" type="noConversion"/>
  </si>
  <si>
    <t>Orozbaev et al., 2010</t>
    <phoneticPr fontId="0" type="noConversion"/>
  </si>
  <si>
    <t>Kyrgyzstan</t>
  </si>
  <si>
    <t>Tien-Shan</t>
  </si>
  <si>
    <t>Vitale Brovarone and Agard 2013</t>
  </si>
  <si>
    <t>New Caledonia</t>
  </si>
  <si>
    <t>Diahot Terrane</t>
  </si>
  <si>
    <t>Potel et al. 2006</t>
  </si>
  <si>
    <t>Koumac and Diahot Terranes</t>
  </si>
  <si>
    <t>Carson et al. 1999</t>
  </si>
  <si>
    <t>Pam Peninsula</t>
  </si>
  <si>
    <t>Clarke et al., 1997</t>
  </si>
  <si>
    <t>Fitzherbert et al. 2003</t>
    <phoneticPr fontId="0" type="noConversion"/>
  </si>
  <si>
    <t>Taetz et al., 2016</t>
  </si>
  <si>
    <t>Pouebo Melange</t>
  </si>
  <si>
    <t>Fagereng and Cooper, 2010</t>
  </si>
  <si>
    <t>New Zealand</t>
  </si>
  <si>
    <t>Otago Schist</t>
  </si>
  <si>
    <t>OC</t>
  </si>
  <si>
    <t>Florres et al 2015</t>
  </si>
  <si>
    <t>Nicaragua</t>
  </si>
  <si>
    <t>Siuna Serpentinite Melange, northeastern Nicaragua</t>
  </si>
  <si>
    <t>GBR,PTGRD</t>
  </si>
  <si>
    <t>Lanari etal. 2013</t>
    <phoneticPr fontId="0" type="noConversion"/>
  </si>
  <si>
    <t>Pakistan</t>
  </si>
  <si>
    <t>Stak</t>
  </si>
  <si>
    <t>C</t>
  </si>
  <si>
    <t>Ota et al., 2002</t>
  </si>
  <si>
    <t>Russia</t>
  </si>
  <si>
    <t>Altai</t>
  </si>
  <si>
    <t>Korikovsky and Karamata, 2011</t>
  </si>
  <si>
    <t>Serbia</t>
  </si>
  <si>
    <t>Fruska Gora Serbia Blueschist</t>
  </si>
  <si>
    <t>Faryad, 1995</t>
  </si>
  <si>
    <t>Slovakia</t>
  </si>
  <si>
    <t>Carpathians</t>
  </si>
  <si>
    <t>Spain</t>
  </si>
  <si>
    <t>Betics</t>
  </si>
  <si>
    <t>Meyre et al., 1999</t>
  </si>
  <si>
    <t>Switzerland</t>
  </si>
  <si>
    <t>Adula nappe (Trescolmen)</t>
  </si>
  <si>
    <t>Le Bayon et al., 2006</t>
    <phoneticPr fontId="0" type="noConversion"/>
  </si>
  <si>
    <t>Zanoni et al, 2016</t>
  </si>
  <si>
    <t>Zermatt Saas</t>
    <phoneticPr fontId="0" type="noConversion"/>
  </si>
  <si>
    <t>Bucher et al., 2005</t>
  </si>
  <si>
    <t>Zermatt-Saas Ophiolite Pfulwe</t>
  </si>
  <si>
    <t>Bousquet et al., 2002</t>
  </si>
  <si>
    <t>Switzerland/France</t>
  </si>
  <si>
    <t>Engadine Window</t>
  </si>
  <si>
    <t>Grisons Window</t>
  </si>
  <si>
    <t>Petit St Bernard, France</t>
  </si>
  <si>
    <t>Angiboust et al. 2014</t>
    <phoneticPr fontId="0" type="noConversion"/>
  </si>
  <si>
    <t>Switzerland/Italy</t>
  </si>
  <si>
    <t>Dent Blanche, Tsate Complex</t>
    <phoneticPr fontId="0" type="noConversion"/>
  </si>
  <si>
    <t>O +C</t>
  </si>
  <si>
    <t>Cartwright and Barnicoat, 2002</t>
    <phoneticPr fontId="0" type="noConversion"/>
  </si>
  <si>
    <t>Taschalp Region</t>
    <phoneticPr fontId="0" type="noConversion"/>
  </si>
  <si>
    <t>Angiboust et al., 2009</t>
    <phoneticPr fontId="0" type="noConversion"/>
  </si>
  <si>
    <t>Keyser et al 2016</t>
  </si>
  <si>
    <t>Taiwan</t>
  </si>
  <si>
    <t>Chinshuichi area, Yuli belt, eastern Taiwan</t>
  </si>
  <si>
    <t>Baziotis et al 2017</t>
  </si>
  <si>
    <t>Tamayen block of the Yuli belt, eastern Taiwan</t>
  </si>
  <si>
    <t>Beyssac et al. 2008</t>
  </si>
  <si>
    <t>Tananao complex</t>
  </si>
  <si>
    <t>Candan et al., 2005</t>
  </si>
  <si>
    <t>Turkey</t>
  </si>
  <si>
    <t>Afyon zone, Western Anatolia</t>
  </si>
  <si>
    <t>Droop et al., 2005</t>
  </si>
  <si>
    <t>Altinekin complex, Konya</t>
  </si>
  <si>
    <t>Sengun et al., 2012</t>
  </si>
  <si>
    <t>Biga Peninsula</t>
  </si>
  <si>
    <t>Whitney et al., 2008</t>
  </si>
  <si>
    <t>Menderes massif</t>
  </si>
  <si>
    <t>Rimmele et al., 2005</t>
  </si>
  <si>
    <t>Menderes/Lycian</t>
  </si>
  <si>
    <t>Okay et al., 2002</t>
  </si>
  <si>
    <t>NW Turkey</t>
  </si>
  <si>
    <t>Okay, 2002</t>
  </si>
  <si>
    <t>Cetinkaplan et al., 2008</t>
  </si>
  <si>
    <t>Sivrihisar Massif</t>
  </si>
  <si>
    <t>Davis and Whitney, 2006</t>
  </si>
  <si>
    <t>Whitney and Davis, 2006</t>
  </si>
  <si>
    <t>Plunder et al., 2013</t>
  </si>
  <si>
    <t>Tavsanli Zone</t>
  </si>
  <si>
    <t>Topuz et al., 2006</t>
  </si>
  <si>
    <t>Topuz et al., 2008</t>
  </si>
  <si>
    <t>Thrace</t>
  </si>
  <si>
    <t>Plunder et al., 2016</t>
  </si>
  <si>
    <t>W Turkey</t>
  </si>
  <si>
    <t>Patrick, 1995</t>
    <phoneticPr fontId="0" type="noConversion"/>
  </si>
  <si>
    <t>USA</t>
  </si>
  <si>
    <t>Brooks Range Central Belt</t>
    <phoneticPr fontId="0" type="noConversion"/>
  </si>
  <si>
    <t>Brooks Range Schist Belt</t>
  </si>
  <si>
    <t>Grove and Bebout, 1995</t>
  </si>
  <si>
    <t>Catalina Schist</t>
  </si>
  <si>
    <t>Pennsiton-Dorland et al 2018</t>
  </si>
  <si>
    <t>Krogh et al. 1994</t>
    <phoneticPr fontId="0" type="noConversion"/>
  </si>
  <si>
    <t>Jenner, Franciscan</t>
  </si>
  <si>
    <t>Page et al. 2007</t>
    <phoneticPr fontId="0" type="noConversion"/>
  </si>
  <si>
    <t>Junction School eclogite, Healdsburg</t>
    <phoneticPr fontId="0" type="noConversion"/>
  </si>
  <si>
    <t>Brandon and Calderwood, 1990</t>
    <phoneticPr fontId="0" type="noConversion"/>
  </si>
  <si>
    <t>Olympic Peninsula</t>
  </si>
  <si>
    <t>Terabayashi et al, 1996</t>
    <phoneticPr fontId="0" type="noConversion"/>
  </si>
  <si>
    <t>Pacheco  Pass, Franciscan\</t>
  </si>
  <si>
    <t>Tsujimori et al. 2006</t>
    <phoneticPr fontId="0" type="noConversion"/>
  </si>
  <si>
    <t>Tiburon, Franciscan</t>
  </si>
  <si>
    <t>Banno et al. 2000</t>
    <phoneticPr fontId="0" type="noConversion"/>
  </si>
  <si>
    <t>Ward Creek, Franciscan</t>
  </si>
  <si>
    <t>Sisson et al. 1997</t>
    <phoneticPr fontId="0" type="noConversion"/>
  </si>
  <si>
    <t>Venezuela</t>
  </si>
  <si>
    <t>Cordillera de la Costa</t>
  </si>
  <si>
    <t>Stöckhert et al., 1995</t>
  </si>
  <si>
    <t>Isla Margarita</t>
  </si>
  <si>
    <t>Smith et al., 1999</t>
  </si>
  <si>
    <t>Villa de Cura</t>
  </si>
  <si>
    <t>Locatelli et al 2018</t>
  </si>
  <si>
    <t>W Alps</t>
  </si>
  <si>
    <t>Monviso</t>
  </si>
  <si>
    <t>Smye et al., 2021</t>
  </si>
  <si>
    <t>Starr et al., 2020</t>
  </si>
  <si>
    <t>Dragovic et al 2020</t>
  </si>
  <si>
    <t>Zermatt Saas</t>
  </si>
  <si>
    <t>Kang et al 2020</t>
  </si>
  <si>
    <t>Sivrihisar</t>
  </si>
  <si>
    <t>Papeschi et al 2020</t>
  </si>
  <si>
    <t>Elba, Italy</t>
  </si>
  <si>
    <t>Elba, Northern Apennines</t>
  </si>
  <si>
    <t>Tewksbury-Christle et al 2021</t>
  </si>
  <si>
    <t>Condrey Mountain Schist, Franciscan</t>
  </si>
  <si>
    <t>Lamont et al 2020</t>
  </si>
  <si>
    <t>Tinos Island</t>
  </si>
  <si>
    <t>AVPT,PS</t>
  </si>
  <si>
    <t>Citation</t>
  </si>
  <si>
    <t>Rolland, Y., G. Mahéo, A. Pecher, and I. M. Villa (2009), Syn-kinematic emplacement of the pangong metamorphic and magmatic complex along the karakorum fault (n ladakh), Journal of Asian Earth Sciences, 34(1), 10–25.</t>
  </si>
  <si>
    <t xml:space="preserve">Hoschek, G. (2007), Metamorphic peak conditions of eclogites in the tauern window, east- ern alps, austria: Thermobarometry of the assemblage garnet+ omphacite+ phengite+ kyanite+ quartz, Lithos, 93(1-2), 1–16. </t>
  </si>
  <si>
    <t xml:space="preserve">Hoschek, G., J. Konzett, and R. Tessadri (2010), Phase equilibria in quartzitic garnet- kyanite-chloritoid micaschist from the eclogite zone, tauern window, eastern alps, Eu- ropean Journal of Mineralogy, 22(5), 721–732. </t>
  </si>
  <si>
    <t>Miller, C., J. Konzett, M. Tiepolo, R. Armstrong, and M. Thöni (2007), Jadeite-gneiss from the eclogite zone, tauern window, eastern alps, austria: metamorphic, geochemical and zircon record of a sedimentary protolith, Lithos, 93(1-2), 68–88.</t>
  </si>
  <si>
    <t>Selverstone, J., G. Franz, S. Thomas, and S. Getty (1992), Fluid variability in 2 gpa eclog- ites as an indicator of fluid behavior during subduction, Contributions to Mineralogy and Petrology, 112(2-3), 341–357.</t>
  </si>
  <si>
    <t>Smye, A. J., M. J. Bickle, T. J. Holland, R. R. Parrish, and D. J. Condon (2011), Rapid formation and exhumation of the youngest alpine eclogites: a thermal conundrum to barrovian metamorphism, Earth and Planetary Science Letters, 306(3-4), 193–204.</t>
  </si>
  <si>
    <t>Dachs, E., and A. Proyer (2001), Relics of high-pressure metamorphism from the gross- glockner region, hohe tauern, austria: Paragenetic evolution and PT-paths of retrogressed eclogites, European Journal of Mineralogy, 13(1), 67–86.</t>
  </si>
  <si>
    <t>Konzett, J., K. Krenn, C. Hauzenberger, M. Whitehouse, and G. Hoinkes (2012), High-pressure tourmaline formation and fluid activity in fe–ti-rich eclogites from the kreuzeckmountains, eastern alps, austria, Journal of Petrology, 53(1), 99–125.</t>
  </si>
  <si>
    <t>Stöckhert, B., H.-J. Massonne, and E. U. Nowlan (1997), Low differential stress during high-pressure metamorphism: The microstructural record of a metapelite from the eclogite zone, tauern window, eastern alps, Lithos, 41(1-3), 103–118.</t>
  </si>
  <si>
    <t>Kurz, W., F. Neubauer, J. Genser, and E. Dachs (1998), Alpine geodynamic evolution of passive and active continental margin sequences in the tauern window (eastern alps, austria, italy): a review, Geologische rundschau, 87(2), 225–242.</t>
  </si>
  <si>
    <t>Ghent, E., D. Tinkham, and R. Marr (2009), Lawsonite eclogites from the pinchi lake area, british columbia—new p–t estimates and interpretation, Lithos, 109(3-4), 248–253.</t>
  </si>
  <si>
    <t>Ramırez-Sánchez, E., F. Hervé, U. Kelm, and R. Sassi (2005), P–t conditions of metapelites from metamorphic complexes in aysen, chile, Journal of South American Earth Sciences, 19(3), 373–386.</t>
  </si>
  <si>
    <t>Willner, A. P. (2005), Pressure–temperature evolution of a late palaeozoic paired metamor- phic belt in north–central chile (34–35 30 s), Journal of Petrology, 46(9), 1805–1833.</t>
  </si>
  <si>
    <t>Hyppolito, T., S. Angiboust, C. Juliani, J. Glodny, A. Garcia-Casco, M. Calderón, and C. Chopin (2016), Eclogite-, amphibolite-and blueschist-facies rocks from diego de al- magro island (patagonia): Episodic accretion and thermal evolution of the chilean subduction interface during the cretaceous, Lithos, 264, 422–440.</t>
  </si>
  <si>
    <t>Hyppolito, T., A. García-Casco, C. Juliani, V. Meira, and C. Hall (2014), Late paleozoic onset of subduction and exhumation at the western margin of gondwana (chilenia ter- rane): Counterclockwise p–t paths and timing of metamorphism of deep-seated garnet– mica schist and amphibolite of punta sirena, coastal accretionary complex, central chile (34 s), Lithos, 206, 409–434.</t>
  </si>
  <si>
    <t>Nakajima, T., S. Maruyama, S. Uchiumi, J. Liou, X. Wang, X. Xiao, and S. Graham (1990), Evidence for late proterozoic subduction from 700-myr-old blueschists in china, Nature, 346(6281), 263.</t>
  </si>
  <si>
    <t>Liu, Y., M. Santosh, Z. B. Zhao, W. C. Niu, and G. H. Wang (2011), Evidence for palaeo- tethyan oceanic subduction within central qiangtang, northern tibet, Lithos, 127(1-2), 39–53.</t>
  </si>
  <si>
    <t>Song, S., Y. Niu, L. Zhang, C. Wei, J. G. Liou, and L. Su (2009), Tectonic evolution of early paleozoic HP metamorphic rocks in the north qilian mountains, nw china: new perspectives, Journal of Asian Earth Sciences, 35(3-4), 334–353.</t>
  </si>
  <si>
    <t>Zhang, L., Q. Wang, and S. Song (2009), Lawsonite blueschist in northern qilian, nw china: P–t pseudosections and petrologic implications, Journal of Asian Earth Sciences, 35(3-4), 354–366.</t>
  </si>
  <si>
    <t>Plissart, G., J. M. González-Jiménez, L. N. Garrido, V. Colás, J. Berger, C. Monnier, H. Diot, and J. A. Padrón-Navarta (2019), Tectono-metamorphic evolution of subduction channel serpentinites from south-central chile, Lithos, 336, 221–241.</t>
  </si>
  <si>
    <t>Willner, A., J. Glodny, T. Gerya, E. Godoy, and H.-J. Massonne (2004), A counterclockwise PTt path of high-pressure/low-temperature rocks from the coastal cordillera accre- tionary complex of south-central chile: constraints for the earliest stage of subduction mass flow, Lithos, 75(3-4), 283–310.</t>
  </si>
  <si>
    <t>Willner, A. P., F. Hervé, and H.-J. Massone (2000), Mineral chemistry and pressure–temperature evolution of two contrasting high-pressure–low-temperature belts in the chonos archipelago, southern chile, Journal of Petrology, 41(3), 309–330.</t>
  </si>
  <si>
    <t>Willner, A. P., S. Pawlig, H.-J. Massonne, and F. Hervé (2001), Metamorphic evolution of spessartine quartzites (coticules) in the high-pressure, low-temperature complex at bahia mansa, coastal cordillera of south-central chile, The Canadian Mineralogist, 39(6), 1547–1569.</t>
  </si>
  <si>
    <t>Lu, Z., L. Zhang, J. Du, and K. Bucher (2008), Coesite inclusions in garnet from eclogitic rocks in western tianshan, northwest china: convincing proof of uhp metamorphism, American Mineralogist, 93(11-12), 1845–1850.</t>
  </si>
  <si>
    <t>Lü, Z., L. Zhang, J. Du, and K. Bucher (2009), Petrology of coesite-bearing eclogite from habutengsu valley, western tianshan, nw china and its tectonometamorphic implication, Journal of Metamorphic Geology, 27(9), 773–787.</t>
  </si>
  <si>
    <t>Beinlich, A., R. Klemd, T. John, and J. Gao (2010), Trace-element mobilization during ca-metasomatism along a major fluid conduit: Eclogitization of blueschist as a conse- quence of fluid–rock interaction, Geochimica et Cosmochimica Acta, 74(6), 1892–1922.</t>
  </si>
  <si>
    <t>John, T., R. Klemd, J. Gao, and C.-D. Garbe-Schönberg (2008), Trace-element mobilization in slabs due to non steady-state fluid–rock interaction: constraints from an eclogite-facies transport vein in blueschist (tianshan, china), Lithos, 103(1-2), 1–24.</t>
  </si>
  <si>
    <t>Klemd, R., J. Gao, J.-L. Li, and M. Meyer (2015), Metamorphic evolution of (ultra)-high-pressure subduction-related transient crust in the south tianshan orogen (central asian orogenic belt): Geodynamic implications, Gondwana Research, 28(1), 1–25.</t>
  </si>
  <si>
    <t>Klemd, R., T. John, E. Scherer, S. Rondenay, and J. Gao (2011), Changes in dip of sub- ducted slabs at depth: petrological and geochronological evidence from hp–uhp rocks (tianshan, nw-china), Earth and Planetary Science Letters, 310(1-2), 9–20.</t>
  </si>
  <si>
    <t>Klemd, R., F. Schröter, T. Will, and J. Gao (2002), P–t evolution of glaucophane–omphacite bearing hp–lt rocks in the western tianshan orogen, nw china: new evidence for ‘alpine-type’tectonics, Journal of Metamorphic Geology, 20(2), 239–254.</t>
  </si>
  <si>
    <t>Lü, Z., L. Zhang, J. Qu, and H. Li (2007), Petrology and metamorphic pt path of eclogites from habutengsu, southwestern tianshan, xinjiang, Acta Petrologica Sinica, 23(7), 1617– 1626.</t>
  </si>
  <si>
    <t>Wei, C., W. Wang, G. L. Clarke, L. Zhang, and S. Song (2009), Metamorphism of high/ultrahigh-pressure pelitic–felsic schist in the south tianshan orogen, nw china: phase equilibria and p–t path, Journal of Petrology, 50(10), 1973–1991.</t>
  </si>
  <si>
    <t>Li, J.-L., R. Klemd, J. Gao, and M. Meyer (2012), Coexisting carbonate-bearing eclogite and blueschist in sw tianshan, china: petrology and phase equilibria, Journal of Asian Earth Sciences, 60, 174–187.</t>
  </si>
  <si>
    <t>Tian, Z., and C. Wei (2014), Coexistence of garnet blueschist and eclogite in south tian- shan, nw china: dependence of p–t evolution and bulk-rock composition, Journal of Metamorphic Geology, 32(7), 743–764.</t>
  </si>
  <si>
    <t>van der Straaten, F., V. Schenk, T. John, and J. Gao (2008), Blueschist-facies rehydration of eclogites (tian shan, nw-china): implications for fluid–rock interaction in the subduc- tion channel, Chemical Geology, 255(1-2), 195–219.</t>
  </si>
  <si>
    <t>Bayet, L., T. John, P. Agard, J. Gao, and J.-L. Li (2018), Massive sediment accretion at 80 km depth along the subduction interface: Evidence from the southern chinese tianshan, Geology, 46(6), 495–498.</t>
  </si>
  <si>
    <t>Tan, Z., P. Agard, J. Gao, T. John, J. Li, T. Jiang, L. Bayet, X. Wang, and X. Zhang (2017), P–t–time-isotopic evolution of coesite-bearing eclogites: implications for ex- humation processes in sw tianshan, Lithos, 278, 1–25.</t>
  </si>
  <si>
    <t>Draper, G., and J. A. Barros (1994), Caribbean geology: An introduction, uwi publishers association, kingston, Caribbean Geology: An Introduction, p. 65.</t>
  </si>
  <si>
    <t>García-Casco, A., R. Torres-Roldán, M. A. Iturralde-Vinent, G. Millán, K. Núñez Cambra, C. Lázaro, and A. Rodríguez Vega (2006), High pressure metamorphism of ophiolites in cuba, Geologica Acta: an international earth science journal, 4(1-2).</t>
  </si>
  <si>
    <t>Schneider, J., D. Bosch, P. Monie, S. Guillot, A. García-Casco, J. Lardeaux, R. L. Torres-Roldán, and G. M. Trujillo (2004), Origin and evolution of the escambray massif (cen- tral cuba): an example of hp/lt rocks exhumed during intraoceanic subduction, Journal of Metamorphic Geology, 22(3), 227–247.</t>
  </si>
  <si>
    <t>García-Casco, A., R. Torres-Roldán, G. Millán, P. Monié, and J. Schneider (2002), Oscil- latory zoning in eclogitic garnet and amphibole, northern serpentinite melange, cuba: a record of tectonic instability during subduction?, Journal of Metamorphic Geology, 20(6), 581–598.</t>
  </si>
  <si>
    <t>Stanek, K. P., W. Maresch, F. Grafe, C. Grevel, and A. Baumann (2006), Structure, tectonics and metamorphic development of the sancti spiritus dome (eastern escambray massif, central cuba), Geologica Acta: an international earth science journal, 4(1-2), 151–170.</t>
  </si>
  <si>
    <t>García-Casco, A., C. Lázaro, Y. Rojas-Agramonte, A. Kröner, R. L. Torres-Roldán, K. Núñez, F. Neubauer, G. Millán, and I. Blanco-Quintero (2008), Partial melting and counterclockwise p–t path of subducted oceanic crust (sierra del convento mélange, cuba), Journal of Petrology, 49(1), 129–161.</t>
  </si>
  <si>
    <t>Gabriele, P., M. Ballèvre, E. Jaillard, and J. Hernandez (2003), Garnet-chloritoid-kyanite metapelites from the raspas complex (sw ecuador) a key eclogite-facies assemblage, European Journal of Mineralogy, 15(6), 977–989.</t>
  </si>
  <si>
    <t>John, T., E. E. Scherer, V. Schenk, P. Herms, R. Halama, and D. Garbe-Schönberg (2010), Subducted seamounts in an eclogite-facies ophiolite sequence: the andean raspas complex, sw ecuador, Contributions to Mineralogy and Petrology, 159(2), 265–284.</t>
  </si>
  <si>
    <t>Smye, A., L. Greenwood, and T. Holland (2010), Garnet–chloritoid–kyanite assemblages: eclogite facies indicators of subduction constraints in orogenic belts, Journal of Meta- morphic Geology, 28(7), 753–768.</t>
  </si>
  <si>
    <t>Brovarone, A. V., C. Groppo, G. Hetényi, R. Compagnoni, and J. Malavieille (2011), Co- existence of lawsonite-bearing eclogite and blueschist: phase equilibria modelling of alpine corsica metabasalts and petrological evolution of subducting slabs, Journal of Metamorphic Geology, 29(5), 583–600.</t>
  </si>
  <si>
    <t>Ravna, E., T. B. Andersen, L. Jolivet, and C. De Capitani (2010), Cold subduction and the formation of lawsonite eclogite–constraints from prograde evolution of eclogitized pillow lava from corsica, Journal of Metamorphic Geology, 28(4), 381–395.</t>
  </si>
  <si>
    <t>Tricart, P., and S. Schwartz (2006), A north-south section across the queyras schistes lustrés (piedmont zone, western alps): Syn-collision refolding of a subduction wedge, Eclogae Geologicae Helvetiae, 99(3), 429–442.</t>
  </si>
  <si>
    <t>Ganne, J., F. Bussy, and O. Vidal (2003), Multi-stage garnet in the internal briançonnais basement (ambin massif, savoy): new petrological constraints on the blueschist- facies metamorphism in the western alps and tectonic implications, Journal of Petrology, 44(7), 1281–1308.</t>
  </si>
  <si>
    <t>Agard, P., B. Goffé, J. L. Touret, and O. Vidal (2000), Retrograde mineral and fluid evolution in high-pressure metapelites (schistes lustrés unit, western alps), Contributions to Mineralogy and Petrology, 140(3), 296–315.</t>
  </si>
  <si>
    <t>Plunder, A., P. Agard, B. Dubacq, C. Chopin, and M. Bellanger (2012), How continuous and precise is the record of p–t paths? insights from combined thermobarometry and thermodynamic modelling into subduction dynamics (schistes lustrés, w. alps), Journal of Metamorphic Geology, 30(3), 323–346.</t>
  </si>
  <si>
    <t>Agard, P., L. Jolivet, and B. Goffe (2001), Tectonometamorphic evolution of the schistes lustres complex; implications for the exhumation of hp and uhp rocks in the western alps, Bulletin de la Société géologique de France, 172(5), 617–636.</t>
  </si>
  <si>
    <t>Viete, D. R., B. R. Hacker, M. B. Allen, G. G. Seward, M. J. Tobin, C. S. Kelley, G. Cinque, and A. R. Duckworth (2018), Metamorphic records of multiple seismic cy- cles during subduction, Science advances, 4(3), eaaq0234.</t>
  </si>
  <si>
    <t>Tortorici, L., S. Catalano, R. Cirrincione, and G. Tortorici (2012), The cretan ophiolite- bearing mélange (greece): a remnant of alpine accretionary wedge, Tectonophysics, 568, 320–334.</t>
  </si>
  <si>
    <t>Katzir, Y., . D. Avigad, A. Matthews, Z. Garfunkel, and B. Evans (2000), Origin, hp/lt metamorphism and cooling of ophiolitic mélanges in southern evia (nw cyclades), greece, Journal of Metamorphic Geology, 18(6), 699–718.</t>
  </si>
  <si>
    <t>Mposkos, E., I. Baziotis, and A. Proyer (2012), Pressure–temperature evolution of eclog- ites from the kechros complex in the eastern rhodope (ne greece), International Journal of Earth Sciences, 101(4), 973–996.</t>
  </si>
  <si>
    <t>Baziotis, I., A. Proyer, and E. Mposkos (2009), High-pressure/low-temperature metamor- phism of basalts in lavrion (greece): implications for the preservation of peak meta- morphic assemblages in blueschists and greenschists, European Journal of Mineralogy, 21(1), 133–148.</t>
  </si>
  <si>
    <t>Scheffer, C., O. Vanderhaeghe, P. Lanari, A. Tarantola, L. Ponthus, A. Photiades, and L. France (2016), Syn-to post-orogenic exhumation of metamorphic nappes: Structure and thermobarometry of the western attic-cycladic metamorphic complex (lavrion, greece), Journal of geodynamics, 96, 174–193.</t>
  </si>
  <si>
    <t>Schermer, E. R. (1990), Mechanisms of blueschist creation and preservation in an a-type subduction zone, mount olympos region, greece, Geology, 18(11), 1130–1133.</t>
  </si>
  <si>
    <t>Feenstra, A., K. Petrakakis, and D. Rhede (2007), Variscan relicts in alpine high-p pelitic rocks from samos (greece): evidence from multi-stage garnet and its included minerals, Journal of Metamorphic Geology, 25(9), 1011–1033.</t>
  </si>
  <si>
    <t>Will, T., M. Okrusch, E. SchmaÈdicke, and G. Chen (1998), Phase relations in the greenschist-blueschist-amphibolite-eclogite facies in the system na2o-cao-feo-mgo-al2o3-sio2-h2o (ncfmash), with application to metamorphic rocks from samos, greece, Contributions to Mineralogy and Petrology, 132(1), 85–102.</t>
  </si>
  <si>
    <t>Ashley, K. T., M. J. Caddick, M. J. Steele-MacInnis, R. J. Bodnar, and B. Dragovic (2014), Geothermobarometric history of subduction recorded by quartz inclusions in garnet, Geochemistry, Geophysics, Geosystems, 15(2), 350–360.</t>
  </si>
  <si>
    <t>Dragovic, B., E. F. Baxter, and M. J. Caddick (2015), Pulsed dehydration and garnet growth during subduction revealed by zoned garnet geochronology and thermodynamic modeling, sifnos, greece, Earth and Planetary Science Letters, 413, 111–122.</t>
  </si>
  <si>
    <t>Dragovic, B., L. M. Samanta, E. F. Baxter, and J. Selverstone (2012), Using garnet to constrain the duration and rate of water-releasing metamorphic reactions during subduction: An example from sifnos, greece, Chemical Geology, 314, 9–22.</t>
  </si>
  <si>
    <t>Groppo, C., M. Forster, G. Lister, and R. Compagnoni (2009), Glaucophane schists and associated rocks from sifnos (cyclades, greece): New constraints on the p–t evolution from oxidized systems, Lithos, 109(3-4), 254–273.</t>
  </si>
  <si>
    <t>Rosenbaum, G., D. Avigad, and M. Sánchez-Gómez (2002), Coaxial flattening at deep levels of orogenic belts: evidence from blueschists and eclogites on syros and sifnos (cyclades, greece), Journal of Structural Geology, 24(9), 1451–1462.</t>
  </si>
  <si>
    <t>Schmädicke, E., and T. Will (2003), Pressure–temperature evolution of blueschist facies rocks from sifnos, greece, and implications for the exhumation of high-pressure rocks in the central aegean, Journal of Metamorphic Geology, 21(8), 799–811.</t>
  </si>
  <si>
    <t>Spear, F. S., D. A. Wark, J. T. Cheney, J. C. Schumacher, and E. B. Watson (2006), Zr-in-rutile thermometry in blueschists from sifnos, greece, Contributions to Mineralogy and Petrology, 152(3), 375–385.</t>
  </si>
  <si>
    <t>Trotet, F., L. Jolivet, and O. Vidal (2001), Tectono-metamorphic evolution of syros and sifnos islands (cyclades, greece), Tectonophysics, 338(2), 179–206.</t>
  </si>
  <si>
    <t>Okrusch, M., and M. Bröcker (1990), Eclogites associated with high-grade blueschists in the cyclades archipelago, greece: a review, European Journal of Mineralogy, pp. 451– 478.</t>
  </si>
  <si>
    <t>Schumacher, J. C., J. B. Brady, J. T. Cheney, and R. R. Tonnsen (2008), Glaucophane- bearing marbles on syros, greece, Journal of Petrology, 49(9), 1667–1686.</t>
  </si>
  <si>
    <t>Thomas, J. B., E. B. Watson, F. S. Spear, P. T. Shemella, S. K. Nayak, and A. Lanzirotti (2010), Titaniq under pressure: the effect of pressure and temperature on the solubility of ti in quartz, Contributions to Mineralogy and Petrology, 160(5), 743–759.</t>
  </si>
  <si>
    <t>Behr, W. M., A. J. Kotowski, and K. T. Ashley (2018), Dehydration-induced rheological heterogeneity and the deep tremor source in warm subduction zones, Geology, 46(5), 475–478.</t>
  </si>
  <si>
    <t>Harlow, G. E., V. B. Sisson, and S. S. Sorensen (2011), Jadeitite from guatemala: new observations and distinctions among multiple occurrences, Geologica Acta, 9(3).</t>
  </si>
  <si>
    <t>Martens, U. C., H. K. Brueckner, C. G. Mattinson, J. G. Liou, and J. L. Wooden (2012), Timing of eclogite-facies metamorphism of the chuacús complex, central guatemala: record of late cretaceous continental subduction of north america’s sialic basement, Lithos, 146, 1–10.</t>
  </si>
  <si>
    <t>Maldonado, R., B. Weber, F. Ortega-Gutiérrez, and L. A. Solari (2018), High-pressure metamorphic evolution of eclogite and associated metapelite from the chuacús complex (guatemala suture zone): Constraints from phase equilibria modelling coupled with lu- hf and u-pb geochronology, Journal of Metamorphic Geology, 36(1), 95–124.</t>
  </si>
  <si>
    <t>Endo, S., S. Wallis, M. Tsuboi, R. Torres De León, and L. Solari (2012), Metamorphic evolution of lawsonite eclogites from the southern motagua fault zone, guatemala: in- sights from phase equilibria and raman spectroscopy, Journal of Metamorphic Geology, 30(2), 143–164.</t>
  </si>
  <si>
    <t>Marroni, M., L. Pandolfi, G. Principi, A. Malasoma, and F. Meneghini (2009), Defor- mation history of the eclogite-and jadeitite-bearing mélange from north motagua fault zone, guatemala: insights in the processes of a fossil subduction channel, Geological Journal, 44(2), 167–190.</t>
  </si>
  <si>
    <t>Tsujimori, T., J. G. Liou, and R. G. Coleman (2005), Coexisting retrograde jadeite and omphacite in a jadeite-bearing lawsonite eclogite from the motagua fault zone, guatemala, American Mineralogist, 90(5-6), 836–842.</t>
  </si>
  <si>
    <t>Ao, A., and S. Bhowmik (2014), Cold subduction of the neotethys: the metamorphic record from finely banded lawsonite and epidote blueschists and associated metabasalts of the nagaland ophiolite complex, india, Journal of Metamorphic Geology, 32(8), 829– 860.</t>
  </si>
  <si>
    <t>Parkinson, C., K. Miyazaki, K. Wakita, A. Barber, and D. Carswell (1998), An overview and tectonic synthesis of the pre-tertiary very-high-pressure metamorphic and associated rocks of java, sulawesi and kalimantan, indonesia, Island Arc, 7(1-2), 184–200.</t>
  </si>
  <si>
    <t>Torabi, G., and S. Arai (2013), Back-arc paleo-tethys related blueschist from central iran, south of chupanan, isfahan province, Petrology, 21(4), 393–407.</t>
  </si>
  <si>
    <t>Torabi, G. (2011), Late permian blueschist from anarak ophiolite (central iran, isfahan province), a mark of multi-suture closure of the paleo-tethys ocean, Revista Mexicana de Ciencias Geológicas, 28(3), 544–554.</t>
  </si>
  <si>
    <t>Rad, G. F., G. Droop, S. Amini, and M. Moazzen (2005), Eclogites and blueschists of the sistan suture zone, eastern iran: a comparison of p–t histories from a subduction mélange, Lithos, 84(1-2), 1–24.</t>
  </si>
  <si>
    <t>Omrani, H., M. Moazzen, R. Oberhänsli, and M. Moslempour (2017), Iranshahr blueschist: subduction of the inner makran oceanic crust, Journal of Metamorphic Ge- ology, 35(4), 373–392.</t>
  </si>
  <si>
    <t>Davoudian, A., J. Genser, E. Dachs, and N. Shabanian (2008), Petrology of eclogites from north of shahrekord, sanandaj-sirjan zone, iran, Mineralogy and Petrology, 92(3-4), 393–413.</t>
  </si>
  <si>
    <t>Omrani, H., M. Moazzen, R. Oberhänsli, T. Tsujimori, R. Bousquet, and M. Moayyed (2013), Metamorphic history of glaucophane-paragonite-zoisite eclogites from the shan- derman area, northern iran, Journal of Metamorphic Geology, 31(8), 791–812.</t>
  </si>
  <si>
    <t>Oberhänsli, R., R. Bousquet, H. Moinzadeh, M. Moazzen, and M. Arvin (2007), The field of stability of blue jadeite: a new occurrence of jadeitite at sorkhan, iran, as a case study, The Canadian Mineralogist, 45(6), 1501–1509.</t>
  </si>
  <si>
    <t>Agard, P., et al. (2006), Transient, synobduction exhumation of zagros blueschists inferred from p-t, deformation, time, and kinematic constraints: Implications for neotethyan wedge dynamics, Journal of Geophysical Research: Solid Earth, 111(B11).</t>
  </si>
  <si>
    <t>Angiboust, S., P. Agard, J. Glodny, J. Omrani, and O. Oncken (2016), Zagros blueschists: Episodic underplating and long-lived cooling of a subduction zone, Earth and Planetary Science Letters, 443, 48–58.</t>
  </si>
  <si>
    <t>Reinecke, T. (1998), Prograde high-to ultrahigh-pressure metamorphism and exhumation of oceanic sediments at lago di cignana, zermatt-saas zone, western alps, Lithos, 42(3- 4), 147–189.</t>
  </si>
  <si>
    <t>Reddy, S., J. Wheeler, and R. Cliff (1999), The geometry and timing of orogenic exten- sion: an example from the western italian alps, Journal of Metamorphic Geology, 17, 573–590.</t>
  </si>
  <si>
    <t>Brouwer, F., R. Vissers, and W. Lamb (2002), Structure and metamorphism of the gran paradiso massif, western alps, italy, Contributions to Mineralogy and Petrology, 143(4), 450–470.</t>
  </si>
  <si>
    <t>Radulescu, I. G., D. Rubatto, C. Gregory, and R. Compagnoni (2009), The age of hp metamorphism in the gran paradiso massif, western alps: a petrological and geochrono- logical study of “silvery micaschists”, Lithos, 110(1-4), 95–108.</t>
  </si>
  <si>
    <t>Le Bayon, B., P. Pitra, M. Ballevre, and M. Bohn (2006a), Reconstructing p–t paths dur- ing continental collision using multi-stage garnet (gran paradiso nappe, western alps), Journal of Metamorphic Geology, 24(6), 477–496.</t>
  </si>
  <si>
    <t>Gasco, I., A. Borghi, and M. Gattiglio (2011), P–t alpine metamorphic evolution of the monte rosa nappe along the piedmont zone boundary (gressoney valley, nw italy), Lithos, 127(1-2), 336–353.</t>
  </si>
  <si>
    <t>Castelli, D., C. Rostagno, B. Lombardo, et al. (2002), Jd-qtz-bearing metaplagiogranite from the monviso meta-ophiolite (western alps), Ofioliti, 27, 81–90.</t>
  </si>
  <si>
    <t>Groppo, C., and D. Castelli (2010), Prograde p–t evolution of a lawsonite eclogite from the monviso meta-ophiolite (western alps): dehydration and redox reactions during sub- duction of oceanic feti-oxide gabbro, Journal of Petrology, 51(12), 2489–2514.</t>
  </si>
  <si>
    <t>Angiboust, S., P. Agard, H. Raimbourg, P. Yamato, and B. Huet (2011), Subduction interface processes recorded by eclogite-facies shear zones (monviso, w. alps), Lithos, 127(1-2), 222–238.</t>
  </si>
  <si>
    <t>Schwartz, S., J.-M. Lardeaux, S. Guillot, and P. Tricart (2000), Diversité du métamor- phisme éclogitique dans le massif ophiolitique du monviso (alpes occidentales, italie), Geodinamica Acta, 13(2-3), 169–188.</t>
  </si>
  <si>
    <t>Federico, L., G. Capponi, L. Crispini, and M. Scambelluri (2004), Exhumation of alpine high-pressure rocks: insights from petrology of eclogite clasts in the tertiary piedmontese basin (ligurian alps, italy), Lithos, 74(1-2), 21–40.</t>
  </si>
  <si>
    <t>Abbott, R. N., B. R. Bandy, T. A. Jackson, and P. W. Scott (2003), Blueschist-greenschist transition in the mt. hibernia schist, union hill, parish of st. thomas, jamaica, International Geology Review, 45(1), 1–15.</t>
  </si>
  <si>
    <t>Taguchi, T., M. Enami, and Y. Kouketsu (2019), Metamorphic record of the asemi-gawa eclogite unit in the sanbagawa belt, southwest japan: Constraints from inclusions study in garnet porphyroblasts, Journal of Metamorphic Geology, 37(2), 181–201.</t>
  </si>
  <si>
    <t>Ota, T., M. Terabayashi, and I. Katayama (2004), Thermobaric structure and metamor- phic evolution of the iratsu eclogite body in the sanbagawa belt, central shikoku, japan, Lithos, 73(1-2), 95–126.</t>
  </si>
  <si>
    <t>Matsumoto, M., S. Wallis, M. Aoya, M. Enami, J. Kawano, Y. Seto, and N. Shimobayashi (2003), Petrological constraints on the formation conditions and retrograde p–t path of the kotsu eclogite unit, central shikoku, Journal of Metamorphic Geology, 21(4), 363– 376.</t>
  </si>
  <si>
    <t>Miyazaki, K., T. Ikeda, K. Arima, M. Fukuyama, K. Maki, T.-F. Yui, and M. Grove (2013), Pressure–temperature structure of a mylonitized metamorphic pile, and the role of advection of the lower crust, nagasaki metamorphic complex, kyushu, japan, Lithos, 162, 14–26.</t>
  </si>
  <si>
    <t>Enami, M., S. R. Wallis, and Y. Banno (1994), Paragenesis of sodic pyroxene-bearing quartz schists: implications for the pt history of the sanbagawa belt, Contributions to Mineralogy and Petrology, 116(1-2), 182–198.</t>
  </si>
  <si>
    <t>Tsujimori, T., and J. G. Liou (2005), Low-pressure and low-temperature k-bearing kos- mochloric diopside from the osayama serpentinite mélange, sw japan, American Miner- alogist, 90(10), 1629–1635.</t>
  </si>
  <si>
    <t>Tsujimori, T., and J. Liou (2007), Significance of the ca-na pyroxene-lawsonite-chlorite assemblage in blueschist-facies metabasalts: an example from the renge metamorphic rocks, southwest japan, International Geology Review, 49(5), 416–430.</t>
  </si>
  <si>
    <t>Inui, M., and M. Toriumi (2002), Prograde pressure–temperature paths in the pelitic schists of the sambagawa metamorphic belt, sw japan, Journal of metamorphic Geology, 20(6), 563–580.</t>
  </si>
  <si>
    <t>Ko, Z. W., M. Enami, and M. Aoya (2005), Chloritoid and barroisite-bearing pelitic schists from the eclogite unit in the besshi district, sanbagawa metamorphic belt, Lithos, 81(1-4), 79–100.</t>
  </si>
  <si>
    <t>Weller, O., S. Wallis, M. Aoya, and T. Nagaya (2015), Phase equilibria modelling of blueschist and eclogite from the sanbagawa metamorphic belt of southwest japan re- veals along-strike consistency in tectonothermal architecture, Journal of Metamorphic Geology, 33(6), 579–596.</t>
  </si>
  <si>
    <t>Aoki, K., T. Itaya, T. Shibuya, H. Masago, Y. Kon, M. Terabayashi, Y. Kaneko, T. Kawai, and S. Maruyama (2008), The youngest blueschist belt in sw japan: implication for the exhumation of the cretaceous sanbagawa high-p/t metamorphic belt, Journal of Meta- morphic Geology, 26(5), 583–602.</t>
  </si>
  <si>
    <t>Aoki, K., et al. (2009), Metamorphic p–t–time history of the sanbagawa belt in central shikoku, japan and implications for retrograde metamorphism during exhumation, Lithos, 113(3-4), 393–407.</t>
  </si>
  <si>
    <t>Orozbaev, R., A. Takasu, A. Bakirov, M. Tagiri, and K. Sakiev (2010), Metamorphic his- tory of eclogites and country rock gneisses in the aktyuz area, northern tien-shan, kyr- gyzstan: a record from initiation of subduction through to oceanic closure by continent– continent collision, Journal of Metamorphic Geology, 28(3), 317–339.</t>
  </si>
  <si>
    <t>Brovarone, A. V., and P. Agard (2013), True metamorphic isograds or tectonically sliced metamorphic sequence? new high-spatial resolution petrological data for the new cale- donia case study, Contributions to Mineralogy and Petrology, 166(2), 451–469.</t>
  </si>
  <si>
    <t>Potel, S., R. F. Mählmann, W. Stern, J. Mullis, and M. Frey (2006), Very low-grade meta- morphic evolution of pelitic rocks under high-pressure/low-temperature conditions, nw new caledonia (sw pacific), Journal of Petrology, 47(5), 991–1015.</t>
  </si>
  <si>
    <t>Carson, C., R. Powell, and G. Clarke (1999), Calculated mineral equilibria for eclogites in cao-na 2 o-feo-mgo-al 2 o 3-sio 2-h 2 o: application to the pouébo terrane, pam penin- sula, new caledonia, Journal of Metamorphic Geology, 17(1), 9–24.</t>
  </si>
  <si>
    <t>Clarke, G., J. Aitchison, and D. Cluzel (1997), Eclogites and blueschists of the pam penin- sula, ne new caledonia: a reappraisal, Journal of Petrology, 38(7), 843–876.</t>
  </si>
  <si>
    <t>Fitzherbert, J., G. Clarke, and R. Powell (2003), Lawsonite–omphacite-bearing metabasites of the pam peninsula, ne new caledonia: evidence for disrupted blueschist-to eclogite-facies conditions, Journal of Petrology, 44(10), 1805–1831.</t>
  </si>
  <si>
    <t>Taetz, S., T. John, M. Bröcker, and C. Spandler (2016), Fluid–rock interaction and evo- lution of a high-pressure/low-temperature vein system in eclogite from new caledonia: insights into intraslab fluid flow processes, Contributions to Mineralogy and Petrology, 171(11), 90.</t>
  </si>
  <si>
    <t>Fagereng, Å., and A. Cooper (2010), The metamorphic history of rocks buried, accreted and exhumed in an accretionary prism: an example from the otago schist, new zealand, Journal of Metamorphic Geology, 28(9), 935–954.</t>
  </si>
  <si>
    <t>Flores, K. E., S. Skora, C. Martin, G. E. Harlow, D. Rodríguez, and P. O. Baumgartner (2015), Metamorphic history of riebeckite-and aegirine-augite-bearing high-pressure– low-temperature blocks within the siuna serpentinite mélange, northeastern nicaragua, International Geology Review, 57(5-8), 943–977.</t>
  </si>
  <si>
    <t>Lanari, P., N. Riel, S. Guillot, O. Vidal, S. Schwartz, A. Pêcher, and K. H. Hattori (2013), Deciphering high-pressure metamorphism in collisional context using microprobe map- ping methods: Application to the stak eclogitic massif (northwest himalaya), Geology, 41(2), 111–114.</t>
  </si>
  <si>
    <t>Ota, T., M. M. Buslov, and T. Watanabe (2002), Metamorphic evolution of late precam- brian eclogites and associated metabasites, gorny altai, southern russia, International Geology Review, 44(9), 837–858.</t>
  </si>
  <si>
    <t>Korikovsky, S., and S. Karamata (2011), Metamorphism of glaucophane-schist rocks at fruška gora complex, northern vardar zone, serbia: Glaucophane-riebeckite-pumpellyite-actinolite-epidote-chlorite schists with zonal na-amphiboles, Petrology, 19(1), 1–12.</t>
  </si>
  <si>
    <t>Faryad, S. (1995), Phase petrology and p-t conditions of mafic blueschists from the meli- ata unit, west carpathians, slovakia, Journal of Metamorphic Geology, 13(6), 701–714.</t>
  </si>
  <si>
    <t>Meyre, C., C. De Capitani, T. Zack, and M. Frey (1999), Petrology of high-pressure metapelites from the adula nappe (central alps, switzerland), Journal of Petrology, 40(1), 199–213.</t>
  </si>
  <si>
    <t>Le Bayon, R., C. de Capitani, and M. Frey (2006b), Modelling phase–assemblage dia- grams for magnesian metapelites in the system k 2 o–feo–mgo–al 2 o 3–sio 2–h 2 o: geodynamic consequences for the monte rosa nappe, western alps, Contributions to Min- eralogy and Petrology, 151(4), 395.</t>
  </si>
  <si>
    <t>Zanoni, D., G. Rebay, and M. Spalla (2016), Ocean floor and subduction record in the zermatt-saas rodingites, valtournanche, western alps, Journal of Metamorphic Geology, 34(9), 941–961.</t>
  </si>
  <si>
    <t>Bucher, K., Y. Fazis, C. De Capitani, and R. Grapes (2005), Blueschists, eclogites, and decompression assemblages of the zermatt-saas ophiolite: High-pressure metamorphism of subducted tethys lithosphere, American mineralogist, 90(5-6), 821–835.</t>
  </si>
  <si>
    <t>Bousquet, R., B. Goffé, O. Vidal, R. Oberhänsli, and M. Patriat (2002), The tectono- metamorphic history of the valaisan domain from the western to the central alps: New constraints on the evolution of the alps, Geological Society of America Bulletin, 114(2), 207–225.</t>
  </si>
  <si>
    <t>Angiboust, S., J. Glodny, O. Oncken, and C. Chopin (2014), In search of transient subduction interfaces in the dent blanche–sesia tectonic system (w. alps), Lithos, 205, 298–321.</t>
  </si>
  <si>
    <t>Cartwright, I., and A. C. Barnicoat (2002), Petrology, geochronology, and tectonics of shear zones in the zermatt–saas and combin zones of the western alps, Journal of meta- morphic Geology, 20(2), 263–281.</t>
  </si>
  <si>
    <t>Angiboust, S., P. Agard, L. Jolivet, and O. Beyssac (2009), The zermatt-saas ophiolite: the largest (60-km wide) and deepest (c. 70–80 km) continuous slice of oceanic lithosphere detached from a subduction zone?, Terra Nova, 21(3), 171–180.</t>
  </si>
  <si>
    <t>Keyser, W., C.-H. Tsai, Y. Iizuka, R. Oberhänsli, and W. Ernst (2016), High-pressure metamorphism in the chinshuichi area, yuli belt, eastern taiwan, Tectonophysics, 692, 191–202.</t>
  </si>
  <si>
    <t>Baziotis, I., C.-H. Tsai, W. Ernst, B.-M. Jahn, and Y. Iizuka (2017), New p–t constraints on the tamayen glaucophane-bearing rocks, eastern taiwan: Perple_x modelling results and geodynamic implications, Journal of Metamorphic Geology, 35(1), 35–54.</t>
  </si>
  <si>
    <t>Beyssac, O., F. Negro, M. Simoes, Y.-C. Chan, and Y.-G. Chen (2008), High-pressure metamorphism in taiwan: from oceanic subduction to arc-continent collision?, Terra Nova, 20(2), 118–125.</t>
  </si>
  <si>
    <t>Candan, O., M. Çetinkaplan, R. Oberhänsli, G. Rimmelé, and C. Akal (2005), Alpine high-p/low-t metamorphism of the afyon zone and implications for the metamorphic evolution of western anatolia, turkey, Lithos, 84(1-2), 102–124.</t>
  </si>
  <si>
    <t>Droop, G. T., M. Ç. Karakaya, Y. Eren, and N. Karakaya (2005), Metamorphic evolution of blueschists of the altınekin complex, konya area, south central turkey, Geological Journal, 40(2), 127–153.</t>
  </si>
  <si>
    <t>Şengün, F., P. Davis, İ. Tunç, and E. Yiğitbaş (2012), Petrology and geochemistry of eclogites from the biga peninsula, northwest turkey, Geodinamica Acta, 25(3-4), 248– 266.</t>
  </si>
  <si>
    <t>Whitney, D. L., C. Teyssier, S. C. Kruckenberg, V. L. Morgan, and L. J. Iredale (2008), High-pressure–low-temperature metamorphism of metasedimentary rocks, southern menderes massif, western turkey, Lithos, 101(3-4), 218–232.</t>
  </si>
  <si>
    <t>Rimmelé, Gaëtan. "Structural and metamorphic evolution of the Lycian Nappes and the Menderes Massif (southwest Turkey): Geodynamic implications and correlations with the Aegean Domain." PhD diss., Universität Potsdam, 2003.</t>
  </si>
  <si>
    <t>Okay, A. (2002), Jadeite–chloritoid–glaucophane–lawsonite blueschists in north-west turkey: unusually high p/t ratios in continental crust, Journal of Metamorphic Geology, 20(8), 757–768.</t>
  </si>
  <si>
    <t>Çetinkaplan, M., O. Candan, R. Oberhänsli, and R. Bousquet (2008), Pressure–temperature evolution of lawsonite eclogite in sivrihisar; tavşanlı zone–turkey, Lithos, 104(1-4), 12– 32.</t>
  </si>
  <si>
    <t>Davis, P. B., and D. Whitney (2006), Petrogenesis of lawsonite and epidote eclogite and blueschist, sivrihisar massif, turkey, Journal of Metamorphic Geology, 24(9), 823–849.</t>
  </si>
  <si>
    <t>Whitney, D. L., and P. B. Davis (2006), Why is lawsonite eclogite so rare? metamorphism and preservation of lawsonite eclogite, sivrihisar, turkey, Geology, 34(6), 473–476.</t>
  </si>
  <si>
    <t>Plunder, A., P. Agard, C. Chopin, and A. I. Okay (2013), Geodynamics of the tavşanlı zone, western turkey: Insights into subduction/obduction processes, Tectonophysics, 608, 884–903.</t>
  </si>
  <si>
    <t>Topuz, G., A. Okay, R. Altherr, H.-P. Meyer, and L. Nasdala (2006), Partial high- pressure aragonitization of micritic limestones in an accretionary complex, tavşanlı zone, nw turkey, Journal of Metamorphic Geology, 24(7), 603–613.</t>
  </si>
  <si>
    <t>Plunder, A., P. Agard, C. Chopin, M. Soret, A. I. Okay, and H. Whitechurch (2016), Meta- morphic sole formation, emplacement and blueschist facies overprint: early subduction dynamics witnessed by western turkey ophiolites, Terra Nova, 28(5), 329–339.</t>
  </si>
  <si>
    <t>Patrick, B. (1995), High-pressure-low-temperature metamorphism of granitic orthogneiss in the brooks range, northern alaska, Journal of Metamorphic Geology, 13(1), 111–124.</t>
  </si>
  <si>
    <t>Grove, M., and G. E. Bebout (1995), Cretaceous tectonic evolution of coastal southern california: insights from the catalina schist, Tectonics, 14(6), 1290–1308.</t>
  </si>
  <si>
    <t>Penniston-Dorland, S. C., M. J. Kohn, and P. M. Piccoli (2018), A mélange of subduction temperatures: Evidence from zr-in-rutile thermometry for strengthening of the subduction interface, Earth and Planetary Science Letters, 482, 525–535.</t>
  </si>
  <si>
    <t>Krogh, E., C. Oh, and J. Liou (1994), Polyphase and anticlockwise p-t evolution for franciscan eclogites and blueschists from jenner, california, usa, Journal of Metamorphic Geology, 12(2), 121–134.</t>
  </si>
  <si>
    <t>Page, F. Z., L. S. Armstrong, E. J. Essene, and S. B. Mukasa (2007), Prograde and ret- rograde history of the junction school eclogite, california, and an evaluation of garnet– phengite–clinopyroxene thermobarometry, Contributions to Mineralogy and Petrology, 153(5), 533–555.</t>
  </si>
  <si>
    <t>Brandon, M. T., and A. R. Calderwood (1990), High-pressure metamorphism and uplift of the olympic subduction complex, Geology, 18(12), 1252–1255.</t>
  </si>
  <si>
    <t>Tembayashi, M., S. Maruyama, and J. Liou (1996), Thermobaric structure of the francis- can complex in the pacheco pass region, diablo range, california, The Journal of Geol- ogy, 104(5), 617–636.</t>
  </si>
  <si>
    <t>Tsujimori, T., K. Matsumoto, J. Wakabayashi, and J. Liou (2006), Franciscan eclogite re- visited: reevaluation of the p–t evolution of tectonic blocks from tiburon peninsula, cali- fornia, usa, Mineralogy and Petrology, 88(1-2), 243.</t>
  </si>
  <si>
    <t>Banno, S., H. Shibakusa, M. Enami, C.-L. Wang, and W. Ernst (2000), Chemical fine structure of franciscan jadeitic pyroxene from ward creek, cazadero area, california, American Mineralogist, 85(11-12), 1795–1798.</t>
  </si>
  <si>
    <t>Sisson, V. B., I. E. Ertan, and H. G. A. Lallemant (1997), High-pressure ( 2000 mpa) kyanite-and glaucophane-bearing pelitic schist and eclogite from cordillera de la costa belt, venezuela, Journal of Petrology, 38(1), 65–83.</t>
  </si>
  <si>
    <t>Stockhert, B., W. V. Maresch, M. Brix, C. Kaiser, A. Toetz, R. Kluge, and G. Krückhans- Lueder (1995), Crustal history of margarita island (venezuela) in detail: Constraint on the caribbean plate-tectonic scenario, Geology, 23(9), 787–790.</t>
  </si>
  <si>
    <t>Smith, C., V. Sisson, H. Avé Lallemant, and P. Copeland (1999), Two contrasting pressure-temperature-time paths in the villa de cura blueschist belt, venezuela: Possi- ble evidence for late cretaceous initiation of subduction in the caribbean, Geological Society of America Bulletin, 111(6), 831–848.</t>
  </si>
  <si>
    <t>Locatelli, M., A. Verlaguet, P. Agard, L. Federico, and S. Angiboust (2018), Intermediate- depth brecciation along the subduction plate interface (monviso eclogite, w. alps), Lithos, 320, 378–402.</t>
  </si>
  <si>
    <t>Smye, A. J., S. M. Seman, M. Scambelluri, P. G. Starr, and L. Federico (2021), Exhuma- tion dynamics of high-pressure metamorphic rocks from the voltri unit, western alps: constraints from phengite rb–sr geochronology, Contributions to Mineralogy and Petrology, 176(2), 1–24.</t>
  </si>
  <si>
    <t>Starr, P. G., K. S. Broadwell, B. Dragovic, M. Scambelluri, A. A. Haws, M. J. Caddick, A. J. Smye, and E. F. Baxter (2020), The subduction and exhumation history of the voltri ophiolite, italy: Evaluating exhumation mechanisms for high-pressure metamor- phic massifs, Lithos, 376, 105,767.</t>
  </si>
  <si>
    <t>Dragovic, B., S. Angiboust, and M. J. Tappa (2020), Petrochronological close-up on the thermal structure of a paleo-subduction zone (w. alps), Earth and Planetary Science Letters, 547, 116,446.</t>
  </si>
  <si>
    <t>Kang, P., K. F. Fornash, and D. L. Whitney (2020), Controls on development of different mineral assemblages in gabbro and basalt during subduction metamorphism, Contributions to Mineralogy and Petrology, 175(12), 1–26.</t>
  </si>
  <si>
    <t>Papeschi, S., G. Musumeci, H.-J. Massonne, F. Mazzarini, E. J. Ryan, and G. Viola (2020), High-p (p= 1.5–1.8 gpa) blueschist from elba: Implications for underthrusting and exhumation of continental units in the northern apennines, Journal of Metamorphic Geology, 38(5), 495–525.</t>
  </si>
  <si>
    <t>Tewksbury-Christle, C., W. Behr, and M. Helper (2021), Tracking deep sediment under- plating in a fossil subduction margin: Implications for interface rheology and mass and volatile recycling, Geochemistry, geophysics, geosystems: G (3), 22(3).</t>
  </si>
  <si>
    <t>Lamont, T. N., M. P. Searle, P. Gopon, N. M. Roberts, J. Wade, R. M. Palin, and D. J. Waters (2020), The cycladic blueschist unit on tinos, greece: Cold ne subduction and sw directed extrusion of the cycladic continental margin under the tsiknias ophiolite, Tectonics, 39(9), e2019TC005,890.</t>
  </si>
  <si>
    <r>
      <t>T (2</t>
    </r>
    <r>
      <rPr>
        <b/>
        <sz val="13"/>
        <color theme="1"/>
        <rFont val="Symbol"/>
        <charset val="2"/>
      </rPr>
      <t>s</t>
    </r>
    <r>
      <rPr>
        <b/>
        <sz val="13"/>
        <color theme="1"/>
        <rFont val="Arial"/>
        <family val="2"/>
      </rPr>
      <t>)</t>
    </r>
  </si>
  <si>
    <r>
      <t>P (2</t>
    </r>
    <r>
      <rPr>
        <b/>
        <sz val="13"/>
        <color theme="1"/>
        <rFont val="Symbol"/>
        <charset val="2"/>
      </rPr>
      <t>s</t>
    </r>
    <r>
      <rPr>
        <b/>
        <sz val="13"/>
        <color theme="1"/>
        <rFont val="Arial"/>
        <family val="2"/>
      </rPr>
      <t>)</t>
    </r>
  </si>
  <si>
    <t>GBR+PS</t>
  </si>
  <si>
    <t>PS,GBR</t>
  </si>
  <si>
    <t>RM,GBR</t>
  </si>
  <si>
    <t>PS,AVPT</t>
  </si>
  <si>
    <t>PS,T</t>
  </si>
  <si>
    <t>AVPT,PTGRD</t>
  </si>
  <si>
    <t>PTGRD,GBR</t>
  </si>
  <si>
    <t>RM,PS,GBR</t>
  </si>
  <si>
    <t>AVPT,RCSM</t>
  </si>
  <si>
    <t>GBR,PS</t>
  </si>
  <si>
    <r>
      <t xml:space="preserve">Dataset 1. </t>
    </r>
    <r>
      <rPr>
        <sz val="12"/>
        <color theme="1"/>
        <rFont val="Arial"/>
        <family val="2"/>
      </rPr>
      <t xml:space="preserve">Compilation of PT data from exhumed oceanic HP-LT rocks.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</si>
</sst>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2"/>
      <color theme="1"/>
      <name val="Calibri"/>
      <family val="2"/>
      <scheme val="minor"/>
    </font>
    <font>
      <b/>
      <sz val="10"/>
      <color theme="1"/>
      <name val="Arial"/>
      <family val="2"/>
    </font>
    <font>
      <sz val="10"/>
      <color theme="1"/>
      <name val="Arial"/>
      <family val="2"/>
    </font>
    <font>
      <sz val="10"/>
      <color indexed="81"/>
      <name val="Calibri"/>
      <family val="2"/>
    </font>
    <font>
      <b/>
      <sz val="10"/>
      <color indexed="81"/>
      <name val="Calibri"/>
      <family val="2"/>
    </font>
    <font>
      <sz val="10"/>
      <color theme="1"/>
      <name val="Verdana"/>
      <family val="2"/>
    </font>
    <font>
      <b/>
      <sz val="13"/>
      <color theme="1"/>
      <name val="Arial"/>
      <family val="2"/>
    </font>
    <font>
      <b/>
      <sz val="13"/>
      <color theme="1"/>
      <name val="Symbol"/>
      <charset val="2"/>
    </font>
    <font>
      <sz val="12"/>
      <color theme="1"/>
      <name val="Arial"/>
      <family val="2"/>
    </font>
    <font>
      <b/>
      <sz val="12"/>
      <color theme="1"/>
      <name val="Arial"/>
      <family val="2"/>
    </font>
  </fonts>
  <fills count="2">
    <fill>
      <patternFill patternType="none"/>
    </fill>
    <fill>
      <patternFill patternType="gray125"/>
    </fill>
  </fills>
  <borders count="3">
    <border>
      <left/>
      <right/>
      <top/>
      <bottom/>
      <diagonal/>
    </border>
    <border>
      <left/>
      <right/>
      <top style="thin">
        <color indexed="64"/>
      </top>
      <bottom style="medium">
        <color indexed="64"/>
      </bottom>
      <diagonal/>
    </border>
    <border>
      <left/>
      <right/>
      <top/>
      <bottom style="double">
        <color indexed="64"/>
      </bottom>
      <diagonal/>
    </border>
  </borders>
  <cellStyleXfs count="1">
    <xf numFmtId="0" fontId="0" fillId="0" borderId="0"/>
  </cellStyleXfs>
  <cellXfs count="23">
    <xf numFmtId="0" fontId="0" fillId="0" borderId="0" xfId="0"/>
    <xf numFmtId="0" fontId="1" fillId="0" borderId="0" xfId="0" applyFont="1"/>
    <xf numFmtId="0" fontId="2" fillId="0" borderId="0" xfId="0" applyFont="1"/>
    <xf numFmtId="0" fontId="2" fillId="0" borderId="0" xfId="0" applyFont="1" applyAlignment="1">
      <alignment wrapText="1"/>
    </xf>
    <xf numFmtId="0" fontId="5" fillId="0" borderId="0" xfId="0" applyFont="1"/>
    <xf numFmtId="0" fontId="2" fillId="0" borderId="0" xfId="0" applyFont="1" applyAlignment="1">
      <alignment horizontal="left"/>
    </xf>
    <xf numFmtId="1" fontId="2" fillId="0" borderId="0" xfId="0" applyNumberFormat="1" applyFont="1" applyAlignment="1">
      <alignment horizontal="left"/>
    </xf>
    <xf numFmtId="2" fontId="2" fillId="0" borderId="0" xfId="0" applyNumberFormat="1" applyFont="1" applyAlignment="1">
      <alignment horizontal="left"/>
    </xf>
    <xf numFmtId="1" fontId="1" fillId="0" borderId="0" xfId="0" applyNumberFormat="1" applyFont="1" applyAlignment="1">
      <alignment horizontal="left"/>
    </xf>
    <xf numFmtId="2" fontId="1" fillId="0" borderId="0" xfId="0" applyNumberFormat="1" applyFont="1" applyAlignment="1">
      <alignment horizontal="left"/>
    </xf>
    <xf numFmtId="0" fontId="1" fillId="0" borderId="0" xfId="0" applyFont="1" applyAlignment="1">
      <alignment horizontal="left"/>
    </xf>
    <xf numFmtId="1" fontId="5" fillId="0" borderId="0" xfId="0" applyNumberFormat="1" applyFont="1" applyAlignment="1">
      <alignment horizontal="left"/>
    </xf>
    <xf numFmtId="2" fontId="5" fillId="0" borderId="0" xfId="0" applyNumberFormat="1" applyFont="1" applyAlignment="1">
      <alignment horizontal="left"/>
    </xf>
    <xf numFmtId="0" fontId="6" fillId="0" borderId="0" xfId="0" applyFont="1"/>
    <xf numFmtId="0" fontId="6" fillId="0" borderId="1" xfId="0" applyFont="1" applyBorder="1"/>
    <xf numFmtId="1" fontId="6" fillId="0" borderId="1" xfId="0" applyNumberFormat="1" applyFont="1" applyBorder="1" applyAlignment="1">
      <alignment horizontal="left"/>
    </xf>
    <xf numFmtId="2" fontId="6" fillId="0" borderId="1" xfId="0" applyNumberFormat="1" applyFont="1" applyBorder="1" applyAlignment="1">
      <alignment horizontal="left"/>
    </xf>
    <xf numFmtId="0" fontId="6" fillId="0" borderId="1" xfId="0" applyFont="1" applyBorder="1" applyAlignment="1">
      <alignment horizontal="left"/>
    </xf>
    <xf numFmtId="0" fontId="2" fillId="0" borderId="2" xfId="0" applyFont="1" applyBorder="1"/>
    <xf numFmtId="1" fontId="2" fillId="0" borderId="2" xfId="0" applyNumberFormat="1" applyFont="1" applyBorder="1" applyAlignment="1">
      <alignment horizontal="left"/>
    </xf>
    <xf numFmtId="2" fontId="2" fillId="0" borderId="2" xfId="0" applyNumberFormat="1" applyFont="1" applyBorder="1" applyAlignment="1">
      <alignment horizontal="left"/>
    </xf>
    <xf numFmtId="0" fontId="2" fillId="0" borderId="2" xfId="0" applyFont="1" applyBorder="1" applyAlignment="1">
      <alignment horizontal="left"/>
    </xf>
    <xf numFmtId="0" fontId="9"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alcChain" Target="calcChain.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person displayName="Smye, Andrew James" id="{DDF72BF2-7812-7548-97F1-9915673A3001}" userId="S::aus702@psu.edu::f0dd7edc-29eb-45b2-9b71-e5e5b9a39dcf"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I3" dT="2021-06-18T16:33:22.55" personId="{DDF72BF2-7812-7548-97F1-9915673A3001}" id="{54D77B17-9C81-C341-99F1-9B55974AA4D6}">
    <text>N = nappe
MS = block in serpentinite
MM = block in metasediments</text>
  </threadedComment>
  <threadedComment ref="J3" dT="2021-06-18T16:22:39.43" personId="{DDF72BF2-7812-7548-97F1-9915673A3001}" id="{CD720075-13A1-F74F-BDE9-BE016F3F9712}">
    <text>AVPT = average PT
PS = pseudosection
GBR = conventional thermobarometry
PTGRD = petrogenetic grid
RM = raman thermobarometry
T = solution thermometry</text>
  </threadedComment>
</ThreadedComments>
</file>

<file path=xl/worksheets/_rels/sheet1.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715E55-0620-A04E-8043-F8381FA27E19}">
  <dimension ref="A1:L287"/>
  <sheetViews>
    <sheetView tabSelected="1" workbookViewId="0">
      <pane ySplit="3" topLeftCell="A4" activePane="bottomLeft" state="frozen"/>
      <selection pane="bottomLeft"/>
    </sheetView>
  </sheetViews>
  <sheetFormatPr baseColWidth="10" defaultRowHeight="13" x14ac:dyDescent="0.15"/>
  <cols>
    <col min="1" max="1" width="30" style="2" bestFit="1" customWidth="1"/>
    <col min="2" max="3" width="7" style="6" bestFit="1" customWidth="1"/>
    <col min="4" max="4" width="9" style="7" bestFit="1" customWidth="1"/>
    <col min="5" max="5" width="7.1640625" style="7" bestFit="1" customWidth="1"/>
    <col min="6" max="6" width="15.83203125" style="5" bestFit="1" customWidth="1"/>
    <col min="7" max="7" width="42.83203125" style="2" bestFit="1" customWidth="1"/>
    <col min="8" max="8" width="21.5" style="2" bestFit="1" customWidth="1"/>
    <col min="9" max="9" width="19.1640625" style="2" bestFit="1" customWidth="1"/>
    <col min="10" max="10" width="13.5" style="2" bestFit="1" customWidth="1"/>
    <col min="11" max="11" width="10.83203125" style="2"/>
    <col min="12" max="12" width="255.6640625" style="2" customWidth="1"/>
    <col min="13" max="16384" width="10.83203125" style="2"/>
  </cols>
  <sheetData>
    <row r="1" spans="1:12" ht="16" x14ac:dyDescent="0.2">
      <c r="A1" s="22" t="s">
        <v>560</v>
      </c>
    </row>
    <row r="3" spans="1:12" s="13" customFormat="1" ht="18" thickBot="1" x14ac:dyDescent="0.25">
      <c r="A3" s="14" t="s">
        <v>0</v>
      </c>
      <c r="B3" s="15" t="s">
        <v>1</v>
      </c>
      <c r="C3" s="15" t="s">
        <v>548</v>
      </c>
      <c r="D3" s="16" t="s">
        <v>2</v>
      </c>
      <c r="E3" s="15" t="s">
        <v>549</v>
      </c>
      <c r="F3" s="17" t="s">
        <v>3</v>
      </c>
      <c r="G3" s="14" t="s">
        <v>4</v>
      </c>
      <c r="H3" s="14" t="s">
        <v>5</v>
      </c>
      <c r="I3" s="14" t="s">
        <v>6</v>
      </c>
      <c r="J3" s="14" t="s">
        <v>7</v>
      </c>
      <c r="K3" s="14"/>
      <c r="L3" s="14" t="s">
        <v>376</v>
      </c>
    </row>
    <row r="4" spans="1:12" s="1" customFormat="1" ht="7" customHeight="1" x14ac:dyDescent="0.15">
      <c r="B4" s="8"/>
      <c r="C4" s="8"/>
      <c r="D4" s="9"/>
      <c r="E4" s="8"/>
      <c r="F4" s="10"/>
    </row>
    <row r="5" spans="1:12" ht="14" x14ac:dyDescent="0.15">
      <c r="A5" s="2" t="s">
        <v>8</v>
      </c>
      <c r="B5" s="6">
        <v>545</v>
      </c>
      <c r="C5" s="6">
        <v>60</v>
      </c>
      <c r="D5" s="7">
        <v>1.2</v>
      </c>
      <c r="E5" s="7">
        <v>0.15</v>
      </c>
      <c r="F5" s="5" t="s">
        <v>9</v>
      </c>
      <c r="G5" s="2" t="s">
        <v>10</v>
      </c>
      <c r="H5" s="2" t="s">
        <v>11</v>
      </c>
      <c r="I5" s="2" t="s">
        <v>12</v>
      </c>
      <c r="J5" s="2" t="s">
        <v>13</v>
      </c>
      <c r="L5" s="3" t="s">
        <v>377</v>
      </c>
    </row>
    <row r="6" spans="1:12" x14ac:dyDescent="0.15">
      <c r="A6" s="2" t="s">
        <v>14</v>
      </c>
      <c r="B6" s="6">
        <v>650</v>
      </c>
      <c r="C6" s="6">
        <v>40</v>
      </c>
      <c r="D6" s="7">
        <v>2.37</v>
      </c>
      <c r="E6" s="7">
        <v>0.1</v>
      </c>
      <c r="F6" s="5" t="s">
        <v>15</v>
      </c>
      <c r="G6" s="2" t="s">
        <v>16</v>
      </c>
      <c r="H6" s="2" t="s">
        <v>11</v>
      </c>
      <c r="I6" s="2" t="s">
        <v>12</v>
      </c>
      <c r="J6" s="2" t="s">
        <v>17</v>
      </c>
      <c r="L6" s="2" t="s">
        <v>378</v>
      </c>
    </row>
    <row r="7" spans="1:12" x14ac:dyDescent="0.15">
      <c r="A7" s="2" t="s">
        <v>14</v>
      </c>
      <c r="B7" s="6">
        <v>630</v>
      </c>
      <c r="C7" s="6">
        <v>40</v>
      </c>
      <c r="D7" s="7">
        <v>2.5</v>
      </c>
      <c r="E7" s="7">
        <v>0.1</v>
      </c>
      <c r="F7" s="5" t="s">
        <v>15</v>
      </c>
      <c r="G7" s="2" t="s">
        <v>16</v>
      </c>
      <c r="H7" s="2" t="s">
        <v>11</v>
      </c>
      <c r="I7" s="2" t="s">
        <v>12</v>
      </c>
      <c r="J7" s="2" t="s">
        <v>13</v>
      </c>
      <c r="L7" s="2" t="s">
        <v>378</v>
      </c>
    </row>
    <row r="8" spans="1:12" x14ac:dyDescent="0.15">
      <c r="A8" s="2" t="s">
        <v>18</v>
      </c>
      <c r="B8" s="6">
        <v>540</v>
      </c>
      <c r="C8" s="6">
        <v>40</v>
      </c>
      <c r="D8" s="7">
        <v>2.0499999999999998</v>
      </c>
      <c r="E8" s="7">
        <v>0.1</v>
      </c>
      <c r="F8" s="5" t="s">
        <v>15</v>
      </c>
      <c r="G8" s="2" t="s">
        <v>16</v>
      </c>
      <c r="H8" s="2" t="s">
        <v>11</v>
      </c>
      <c r="I8" s="2" t="s">
        <v>12</v>
      </c>
      <c r="J8" s="2" t="s">
        <v>17</v>
      </c>
      <c r="L8" s="2" t="s">
        <v>379</v>
      </c>
    </row>
    <row r="9" spans="1:12" x14ac:dyDescent="0.15">
      <c r="A9" s="2" t="s">
        <v>18</v>
      </c>
      <c r="B9" s="6">
        <v>585</v>
      </c>
      <c r="C9" s="6">
        <v>40</v>
      </c>
      <c r="D9" s="7">
        <v>2</v>
      </c>
      <c r="E9" s="7">
        <v>0.1</v>
      </c>
      <c r="F9" s="5" t="s">
        <v>15</v>
      </c>
      <c r="G9" s="2" t="s">
        <v>16</v>
      </c>
      <c r="H9" s="2" t="s">
        <v>11</v>
      </c>
      <c r="I9" s="2" t="s">
        <v>12</v>
      </c>
      <c r="J9" s="2" t="s">
        <v>17</v>
      </c>
      <c r="L9" s="2" t="s">
        <v>379</v>
      </c>
    </row>
    <row r="10" spans="1:12" ht="14" x14ac:dyDescent="0.15">
      <c r="A10" s="2" t="s">
        <v>19</v>
      </c>
      <c r="B10" s="6">
        <v>590</v>
      </c>
      <c r="C10" s="6">
        <v>40</v>
      </c>
      <c r="D10" s="7">
        <v>2.15</v>
      </c>
      <c r="E10" s="7">
        <v>0.1</v>
      </c>
      <c r="F10" s="5" t="s">
        <v>15</v>
      </c>
      <c r="G10" s="2" t="s">
        <v>16</v>
      </c>
      <c r="H10" s="2" t="s">
        <v>11</v>
      </c>
      <c r="I10" s="2" t="s">
        <v>12</v>
      </c>
      <c r="J10" s="2" t="s">
        <v>13</v>
      </c>
      <c r="L10" s="3" t="s">
        <v>386</v>
      </c>
    </row>
    <row r="11" spans="1:12" x14ac:dyDescent="0.15">
      <c r="A11" s="2" t="s">
        <v>20</v>
      </c>
      <c r="B11" s="6">
        <v>640</v>
      </c>
      <c r="C11" s="6">
        <v>50</v>
      </c>
      <c r="D11" s="7">
        <v>2.2000000000000002</v>
      </c>
      <c r="E11" s="7">
        <v>0.2</v>
      </c>
      <c r="F11" s="5" t="s">
        <v>15</v>
      </c>
      <c r="G11" s="2" t="s">
        <v>16</v>
      </c>
      <c r="H11" s="2" t="s">
        <v>11</v>
      </c>
      <c r="I11" s="2" t="s">
        <v>12</v>
      </c>
      <c r="J11" s="2" t="s">
        <v>17</v>
      </c>
      <c r="L11" s="2" t="s">
        <v>380</v>
      </c>
    </row>
    <row r="12" spans="1:12" x14ac:dyDescent="0.15">
      <c r="A12" s="2" t="s">
        <v>21</v>
      </c>
      <c r="B12" s="6">
        <v>625</v>
      </c>
      <c r="C12" s="6">
        <v>75</v>
      </c>
      <c r="D12" s="7">
        <v>2</v>
      </c>
      <c r="E12" s="7">
        <v>0.3</v>
      </c>
      <c r="F12" s="5" t="s">
        <v>15</v>
      </c>
      <c r="G12" s="2" t="s">
        <v>16</v>
      </c>
      <c r="H12" s="2" t="s">
        <v>11</v>
      </c>
      <c r="I12" s="2" t="s">
        <v>12</v>
      </c>
      <c r="J12" s="2" t="s">
        <v>22</v>
      </c>
      <c r="L12" s="2" t="s">
        <v>381</v>
      </c>
    </row>
    <row r="13" spans="1:12" x14ac:dyDescent="0.15">
      <c r="A13" s="2" t="s">
        <v>23</v>
      </c>
      <c r="B13" s="6">
        <v>553</v>
      </c>
      <c r="C13" s="6">
        <v>40</v>
      </c>
      <c r="D13" s="7">
        <v>2.62</v>
      </c>
      <c r="E13" s="7">
        <v>0.18</v>
      </c>
      <c r="F13" s="5" t="s">
        <v>15</v>
      </c>
      <c r="G13" s="2" t="s">
        <v>16</v>
      </c>
      <c r="H13" s="2" t="s">
        <v>11</v>
      </c>
      <c r="I13" s="2" t="s">
        <v>12</v>
      </c>
      <c r="J13" s="2" t="s">
        <v>17</v>
      </c>
      <c r="L13" s="2" t="s">
        <v>382</v>
      </c>
    </row>
    <row r="14" spans="1:12" ht="14" x14ac:dyDescent="0.15">
      <c r="A14" s="2" t="s">
        <v>24</v>
      </c>
      <c r="B14" s="6">
        <v>595</v>
      </c>
      <c r="C14" s="6">
        <v>50</v>
      </c>
      <c r="D14" s="7">
        <v>2.5</v>
      </c>
      <c r="E14" s="7">
        <v>0.2</v>
      </c>
      <c r="F14" s="5" t="s">
        <v>15</v>
      </c>
      <c r="G14" s="2" t="s">
        <v>16</v>
      </c>
      <c r="H14" s="2" t="s">
        <v>11</v>
      </c>
      <c r="I14" s="2" t="s">
        <v>12</v>
      </c>
      <c r="J14" s="2" t="s">
        <v>25</v>
      </c>
      <c r="L14" s="3" t="s">
        <v>385</v>
      </c>
    </row>
    <row r="15" spans="1:12" ht="14" x14ac:dyDescent="0.15">
      <c r="A15" s="2" t="s">
        <v>26</v>
      </c>
      <c r="B15" s="6">
        <v>645</v>
      </c>
      <c r="C15" s="6">
        <v>40</v>
      </c>
      <c r="D15" s="7">
        <v>2.1</v>
      </c>
      <c r="E15" s="7">
        <v>0.1</v>
      </c>
      <c r="F15" s="5" t="s">
        <v>15</v>
      </c>
      <c r="G15" s="2" t="s">
        <v>27</v>
      </c>
      <c r="H15" s="2" t="s">
        <v>28</v>
      </c>
      <c r="I15" s="2" t="s">
        <v>12</v>
      </c>
      <c r="J15" s="2" t="s">
        <v>22</v>
      </c>
      <c r="L15" s="3" t="s">
        <v>384</v>
      </c>
    </row>
    <row r="16" spans="1:12" ht="14" x14ac:dyDescent="0.15">
      <c r="A16" s="2" t="s">
        <v>29</v>
      </c>
      <c r="B16" s="6">
        <v>400</v>
      </c>
      <c r="C16" s="6">
        <v>50</v>
      </c>
      <c r="D16" s="7">
        <v>0.5</v>
      </c>
      <c r="E16" s="7">
        <v>0.2</v>
      </c>
      <c r="F16" s="5" t="s">
        <v>15</v>
      </c>
      <c r="G16" s="2" t="s">
        <v>30</v>
      </c>
      <c r="H16" s="2" t="s">
        <v>11</v>
      </c>
      <c r="I16" s="2" t="s">
        <v>12</v>
      </c>
      <c r="J16" s="2" t="s">
        <v>13</v>
      </c>
      <c r="L16" s="3" t="s">
        <v>383</v>
      </c>
    </row>
    <row r="17" spans="1:12" ht="14" x14ac:dyDescent="0.15">
      <c r="A17" s="2" t="s">
        <v>29</v>
      </c>
      <c r="B17" s="6">
        <v>570</v>
      </c>
      <c r="C17" s="6">
        <v>50</v>
      </c>
      <c r="D17" s="7">
        <v>1.7</v>
      </c>
      <c r="E17" s="7">
        <v>0.2</v>
      </c>
      <c r="F17" s="5" t="s">
        <v>15</v>
      </c>
      <c r="G17" s="2" t="s">
        <v>30</v>
      </c>
      <c r="H17" s="2" t="s">
        <v>11</v>
      </c>
      <c r="I17" s="2" t="s">
        <v>12</v>
      </c>
      <c r="J17" s="2" t="s">
        <v>13</v>
      </c>
      <c r="L17" s="3" t="s">
        <v>383</v>
      </c>
    </row>
    <row r="18" spans="1:12" x14ac:dyDescent="0.15">
      <c r="A18" s="2" t="s">
        <v>31</v>
      </c>
      <c r="B18" s="6">
        <v>450</v>
      </c>
      <c r="C18" s="6">
        <v>40</v>
      </c>
      <c r="D18" s="7">
        <v>2.5</v>
      </c>
      <c r="E18" s="7">
        <v>0.1</v>
      </c>
      <c r="F18" s="5" t="s">
        <v>32</v>
      </c>
      <c r="G18" s="2" t="s">
        <v>33</v>
      </c>
      <c r="H18" s="2" t="s">
        <v>11</v>
      </c>
      <c r="I18" s="2" t="s">
        <v>34</v>
      </c>
      <c r="J18" s="2" t="s">
        <v>551</v>
      </c>
      <c r="L18" s="2" t="s">
        <v>387</v>
      </c>
    </row>
    <row r="19" spans="1:12" ht="14" x14ac:dyDescent="0.15">
      <c r="A19" s="2" t="s">
        <v>35</v>
      </c>
      <c r="B19" s="6">
        <v>320</v>
      </c>
      <c r="C19" s="6">
        <v>50</v>
      </c>
      <c r="D19" s="7">
        <v>0.7</v>
      </c>
      <c r="E19" s="7">
        <v>0.1</v>
      </c>
      <c r="F19" s="5" t="s">
        <v>36</v>
      </c>
      <c r="G19" s="2" t="s">
        <v>37</v>
      </c>
      <c r="H19" s="2" t="s">
        <v>11</v>
      </c>
      <c r="I19" s="2" t="s">
        <v>12</v>
      </c>
      <c r="J19" s="2" t="s">
        <v>25</v>
      </c>
      <c r="L19" s="3" t="s">
        <v>399</v>
      </c>
    </row>
    <row r="20" spans="1:12" ht="14" x14ac:dyDescent="0.15">
      <c r="A20" s="2" t="s">
        <v>38</v>
      </c>
      <c r="B20" s="6">
        <v>265</v>
      </c>
      <c r="C20" s="6">
        <v>40</v>
      </c>
      <c r="D20" s="7">
        <v>0.52500000000000002</v>
      </c>
      <c r="E20" s="7">
        <v>0.1</v>
      </c>
      <c r="F20" s="5" t="s">
        <v>36</v>
      </c>
      <c r="G20" s="2" t="s">
        <v>39</v>
      </c>
      <c r="H20" s="2" t="s">
        <v>11</v>
      </c>
      <c r="I20" s="2" t="s">
        <v>12</v>
      </c>
      <c r="J20" s="2" t="s">
        <v>25</v>
      </c>
      <c r="L20" s="3" t="s">
        <v>398</v>
      </c>
    </row>
    <row r="21" spans="1:12" ht="14" x14ac:dyDescent="0.15">
      <c r="A21" s="2" t="s">
        <v>38</v>
      </c>
      <c r="B21" s="6">
        <v>440</v>
      </c>
      <c r="C21" s="6">
        <v>60</v>
      </c>
      <c r="D21" s="7">
        <v>0.9</v>
      </c>
      <c r="E21" s="7">
        <v>0.1</v>
      </c>
      <c r="F21" s="5" t="s">
        <v>36</v>
      </c>
      <c r="G21" s="2" t="s">
        <v>39</v>
      </c>
      <c r="H21" s="2" t="s">
        <v>11</v>
      </c>
      <c r="I21" s="2" t="s">
        <v>12</v>
      </c>
      <c r="J21" s="2" t="s">
        <v>25</v>
      </c>
      <c r="L21" s="3" t="s">
        <v>398</v>
      </c>
    </row>
    <row r="22" spans="1:12" x14ac:dyDescent="0.15">
      <c r="A22" s="2" t="s">
        <v>40</v>
      </c>
      <c r="B22" s="6">
        <v>345</v>
      </c>
      <c r="C22" s="6">
        <v>40</v>
      </c>
      <c r="D22" s="7">
        <v>0.52</v>
      </c>
      <c r="E22" s="7">
        <v>0.1</v>
      </c>
      <c r="F22" s="5" t="s">
        <v>36</v>
      </c>
      <c r="G22" s="2" t="s">
        <v>41</v>
      </c>
      <c r="H22" s="2" t="s">
        <v>11</v>
      </c>
      <c r="I22" s="2" t="s">
        <v>12</v>
      </c>
      <c r="J22" s="2" t="s">
        <v>22</v>
      </c>
      <c r="L22" s="2" t="s">
        <v>388</v>
      </c>
    </row>
    <row r="23" spans="1:12" x14ac:dyDescent="0.15">
      <c r="A23" s="2" t="s">
        <v>42</v>
      </c>
      <c r="B23" s="6">
        <f>(385-350)/2+350</f>
        <v>367.5</v>
      </c>
      <c r="C23" s="6">
        <v>40</v>
      </c>
      <c r="D23" s="7">
        <f>(1.07-0.95)/2+0.95</f>
        <v>1.01</v>
      </c>
      <c r="E23" s="7">
        <v>0.11</v>
      </c>
      <c r="F23" s="5" t="s">
        <v>36</v>
      </c>
      <c r="G23" s="2" t="s">
        <v>43</v>
      </c>
      <c r="H23" s="2" t="s">
        <v>11</v>
      </c>
      <c r="I23" s="2" t="s">
        <v>12</v>
      </c>
      <c r="J23" s="2" t="s">
        <v>17</v>
      </c>
      <c r="L23" s="2" t="s">
        <v>389</v>
      </c>
    </row>
    <row r="24" spans="1:12" x14ac:dyDescent="0.15">
      <c r="A24" s="2" t="s">
        <v>42</v>
      </c>
      <c r="B24" s="6">
        <f>(440-390)/2+390</f>
        <v>415</v>
      </c>
      <c r="C24" s="6">
        <v>40</v>
      </c>
      <c r="D24" s="7">
        <f>(1.47-0.96)/2+0.96</f>
        <v>1.2149999999999999</v>
      </c>
      <c r="E24" s="7">
        <v>0.255</v>
      </c>
      <c r="F24" s="5" t="s">
        <v>36</v>
      </c>
      <c r="G24" s="2" t="s">
        <v>43</v>
      </c>
      <c r="H24" s="2" t="s">
        <v>11</v>
      </c>
      <c r="I24" s="2" t="s">
        <v>12</v>
      </c>
      <c r="J24" s="2" t="s">
        <v>17</v>
      </c>
      <c r="L24" s="2" t="s">
        <v>389</v>
      </c>
    </row>
    <row r="25" spans="1:12" x14ac:dyDescent="0.15">
      <c r="A25" s="2" t="s">
        <v>42</v>
      </c>
      <c r="B25" s="6">
        <f>(420-380)/2+380</f>
        <v>400</v>
      </c>
      <c r="C25" s="6">
        <v>40</v>
      </c>
      <c r="D25" s="7">
        <v>0.81499999999999995</v>
      </c>
      <c r="E25" s="7">
        <v>0.115</v>
      </c>
      <c r="F25" s="5" t="s">
        <v>36</v>
      </c>
      <c r="G25" s="2" t="s">
        <v>43</v>
      </c>
      <c r="H25" s="2" t="s">
        <v>11</v>
      </c>
      <c r="I25" s="2" t="s">
        <v>12</v>
      </c>
      <c r="J25" s="2" t="s">
        <v>17</v>
      </c>
      <c r="L25" s="2" t="s">
        <v>389</v>
      </c>
    </row>
    <row r="26" spans="1:12" ht="14" x14ac:dyDescent="0.15">
      <c r="A26" s="2" t="s">
        <v>44</v>
      </c>
      <c r="B26" s="6">
        <v>550</v>
      </c>
      <c r="C26" s="6">
        <v>150</v>
      </c>
      <c r="D26" s="7">
        <v>2</v>
      </c>
      <c r="E26" s="7">
        <v>0.5</v>
      </c>
      <c r="F26" s="5" t="s">
        <v>36</v>
      </c>
      <c r="G26" s="2" t="s">
        <v>45</v>
      </c>
      <c r="H26" s="2" t="s">
        <v>11</v>
      </c>
      <c r="I26" s="2" t="s">
        <v>12</v>
      </c>
      <c r="J26" s="2" t="s">
        <v>25</v>
      </c>
      <c r="L26" s="3" t="s">
        <v>396</v>
      </c>
    </row>
    <row r="27" spans="1:12" ht="14" x14ac:dyDescent="0.15">
      <c r="A27" s="2" t="s">
        <v>46</v>
      </c>
      <c r="B27" s="6">
        <v>680</v>
      </c>
      <c r="C27" s="6">
        <v>80</v>
      </c>
      <c r="D27" s="7">
        <f>(1.65-1.1)/2+1.1</f>
        <v>1.375</v>
      </c>
      <c r="E27" s="7">
        <v>0.25</v>
      </c>
      <c r="F27" s="5" t="s">
        <v>36</v>
      </c>
      <c r="G27" s="2" t="s">
        <v>47</v>
      </c>
      <c r="H27" s="2" t="s">
        <v>11</v>
      </c>
      <c r="I27" s="2" t="s">
        <v>48</v>
      </c>
      <c r="J27" s="2" t="s">
        <v>17</v>
      </c>
      <c r="L27" s="3" t="s">
        <v>397</v>
      </c>
    </row>
    <row r="28" spans="1:12" ht="14" x14ac:dyDescent="0.15">
      <c r="A28" s="2" t="s">
        <v>49</v>
      </c>
      <c r="B28" s="6">
        <v>563</v>
      </c>
      <c r="C28" s="6">
        <v>40</v>
      </c>
      <c r="D28" s="7">
        <v>1.57</v>
      </c>
      <c r="E28" s="7">
        <v>0.1</v>
      </c>
      <c r="F28" s="5" t="s">
        <v>36</v>
      </c>
      <c r="G28" s="2" t="s">
        <v>50</v>
      </c>
      <c r="H28" s="2" t="s">
        <v>11</v>
      </c>
      <c r="I28" s="2" t="s">
        <v>12</v>
      </c>
      <c r="J28" s="2" t="s">
        <v>17</v>
      </c>
      <c r="L28" s="3" t="s">
        <v>390</v>
      </c>
    </row>
    <row r="29" spans="1:12" ht="14" x14ac:dyDescent="0.15">
      <c r="A29" s="2" t="s">
        <v>49</v>
      </c>
      <c r="B29" s="6">
        <v>525</v>
      </c>
      <c r="C29" s="6">
        <v>40</v>
      </c>
      <c r="D29" s="7">
        <v>1.68</v>
      </c>
      <c r="E29" s="7">
        <v>0.12</v>
      </c>
      <c r="F29" s="5" t="s">
        <v>36</v>
      </c>
      <c r="G29" s="2" t="s">
        <v>50</v>
      </c>
      <c r="H29" s="2" t="s">
        <v>11</v>
      </c>
      <c r="I29" s="2" t="s">
        <v>12</v>
      </c>
      <c r="J29" s="2" t="s">
        <v>17</v>
      </c>
      <c r="L29" s="3" t="s">
        <v>390</v>
      </c>
    </row>
    <row r="30" spans="1:12" ht="14" x14ac:dyDescent="0.15">
      <c r="A30" s="2" t="s">
        <v>49</v>
      </c>
      <c r="B30" s="6">
        <v>605</v>
      </c>
      <c r="C30" s="6">
        <v>40</v>
      </c>
      <c r="D30" s="7">
        <v>1.7</v>
      </c>
      <c r="E30" s="7">
        <v>0.1</v>
      </c>
      <c r="F30" s="5" t="s">
        <v>36</v>
      </c>
      <c r="G30" s="2" t="s">
        <v>50</v>
      </c>
      <c r="H30" s="2" t="s">
        <v>11</v>
      </c>
      <c r="I30" s="2" t="s">
        <v>12</v>
      </c>
      <c r="J30" s="2" t="s">
        <v>17</v>
      </c>
      <c r="L30" s="3" t="s">
        <v>390</v>
      </c>
    </row>
    <row r="31" spans="1:12" ht="14" x14ac:dyDescent="0.15">
      <c r="A31" s="2" t="s">
        <v>49</v>
      </c>
      <c r="B31" s="6">
        <v>555</v>
      </c>
      <c r="C31" s="6">
        <v>40</v>
      </c>
      <c r="D31" s="7">
        <v>1.65</v>
      </c>
      <c r="E31" s="7">
        <v>0.15</v>
      </c>
      <c r="F31" s="5" t="s">
        <v>36</v>
      </c>
      <c r="G31" s="2" t="s">
        <v>50</v>
      </c>
      <c r="H31" s="2" t="s">
        <v>11</v>
      </c>
      <c r="I31" s="2" t="s">
        <v>12</v>
      </c>
      <c r="J31" s="2" t="s">
        <v>17</v>
      </c>
      <c r="L31" s="3" t="s">
        <v>390</v>
      </c>
    </row>
    <row r="32" spans="1:12" x14ac:dyDescent="0.15">
      <c r="A32" s="2" t="s">
        <v>51</v>
      </c>
      <c r="B32" s="6">
        <v>532</v>
      </c>
      <c r="C32" s="6">
        <v>40</v>
      </c>
      <c r="D32" s="7">
        <v>1.24</v>
      </c>
      <c r="E32" s="7">
        <v>0.1</v>
      </c>
      <c r="F32" s="5" t="s">
        <v>36</v>
      </c>
      <c r="G32" s="2" t="s">
        <v>52</v>
      </c>
      <c r="H32" s="2" t="s">
        <v>11</v>
      </c>
      <c r="I32" s="2" t="s">
        <v>12</v>
      </c>
      <c r="J32" s="2" t="s">
        <v>13</v>
      </c>
      <c r="L32" s="2" t="s">
        <v>391</v>
      </c>
    </row>
    <row r="33" spans="1:12" x14ac:dyDescent="0.15">
      <c r="A33" s="2" t="s">
        <v>53</v>
      </c>
      <c r="B33" s="6">
        <v>325</v>
      </c>
      <c r="C33" s="6">
        <v>50</v>
      </c>
      <c r="D33" s="7">
        <v>0.6</v>
      </c>
      <c r="E33" s="7">
        <v>0.2</v>
      </c>
      <c r="F33" s="5" t="s">
        <v>54</v>
      </c>
      <c r="G33" s="2" t="s">
        <v>55</v>
      </c>
      <c r="H33" s="2" t="s">
        <v>56</v>
      </c>
      <c r="I33" s="2" t="s">
        <v>12</v>
      </c>
      <c r="L33" s="2" t="s">
        <v>392</v>
      </c>
    </row>
    <row r="34" spans="1:12" x14ac:dyDescent="0.15">
      <c r="A34" s="2" t="s">
        <v>57</v>
      </c>
      <c r="B34" s="6">
        <v>490</v>
      </c>
      <c r="C34" s="6">
        <v>40</v>
      </c>
      <c r="D34" s="7">
        <v>1.92</v>
      </c>
      <c r="E34" s="7">
        <v>0.1</v>
      </c>
      <c r="F34" s="5" t="s">
        <v>54</v>
      </c>
      <c r="G34" s="2" t="s">
        <v>58</v>
      </c>
      <c r="H34" s="2" t="s">
        <v>11</v>
      </c>
      <c r="I34" s="2" t="s">
        <v>12</v>
      </c>
      <c r="J34" s="2" t="s">
        <v>17</v>
      </c>
      <c r="L34" s="2" t="s">
        <v>393</v>
      </c>
    </row>
    <row r="35" spans="1:12" ht="14" x14ac:dyDescent="0.15">
      <c r="A35" s="2" t="s">
        <v>59</v>
      </c>
      <c r="B35" s="6">
        <v>300</v>
      </c>
      <c r="C35" s="6">
        <v>50</v>
      </c>
      <c r="D35" s="7">
        <v>0.85</v>
      </c>
      <c r="E35" s="7">
        <v>0.25</v>
      </c>
      <c r="F35" s="5" t="s">
        <v>54</v>
      </c>
      <c r="G35" s="2" t="s">
        <v>60</v>
      </c>
      <c r="H35" s="2" t="s">
        <v>56</v>
      </c>
      <c r="I35" s="2" t="s">
        <v>12</v>
      </c>
      <c r="J35" s="2" t="s">
        <v>25</v>
      </c>
      <c r="L35" s="3" t="s">
        <v>394</v>
      </c>
    </row>
    <row r="36" spans="1:12" x14ac:dyDescent="0.15">
      <c r="A36" s="2" t="s">
        <v>59</v>
      </c>
      <c r="B36" s="6">
        <v>500</v>
      </c>
      <c r="C36" s="6">
        <v>40</v>
      </c>
      <c r="D36" s="7">
        <v>2.4</v>
      </c>
      <c r="E36" s="7">
        <v>0.2</v>
      </c>
      <c r="F36" s="5" t="s">
        <v>54</v>
      </c>
      <c r="G36" s="2" t="s">
        <v>60</v>
      </c>
      <c r="H36" s="2" t="s">
        <v>56</v>
      </c>
      <c r="I36" s="2" t="s">
        <v>12</v>
      </c>
      <c r="J36" s="2" t="s">
        <v>25</v>
      </c>
      <c r="L36" s="2" t="s">
        <v>394</v>
      </c>
    </row>
    <row r="37" spans="1:12" x14ac:dyDescent="0.15">
      <c r="A37" s="2" t="s">
        <v>61</v>
      </c>
      <c r="B37" s="6">
        <v>335</v>
      </c>
      <c r="C37" s="6">
        <v>40</v>
      </c>
      <c r="D37" s="7">
        <v>0.8</v>
      </c>
      <c r="E37" s="7">
        <v>0.1</v>
      </c>
      <c r="F37" s="5" t="s">
        <v>54</v>
      </c>
      <c r="G37" s="2" t="s">
        <v>60</v>
      </c>
      <c r="H37" s="2" t="s">
        <v>56</v>
      </c>
      <c r="I37" s="2" t="s">
        <v>12</v>
      </c>
      <c r="L37" s="2" t="s">
        <v>395</v>
      </c>
    </row>
    <row r="38" spans="1:12" x14ac:dyDescent="0.15">
      <c r="A38" s="2" t="s">
        <v>61</v>
      </c>
      <c r="B38" s="6">
        <v>345</v>
      </c>
      <c r="C38" s="6">
        <v>40</v>
      </c>
      <c r="D38" s="7">
        <v>0.875</v>
      </c>
      <c r="E38" s="7">
        <v>0.1</v>
      </c>
      <c r="F38" s="5" t="s">
        <v>54</v>
      </c>
      <c r="G38" s="2" t="s">
        <v>60</v>
      </c>
      <c r="H38" s="2" t="s">
        <v>56</v>
      </c>
      <c r="I38" s="2" t="s">
        <v>12</v>
      </c>
      <c r="L38" s="2" t="s">
        <v>395</v>
      </c>
    </row>
    <row r="39" spans="1:12" x14ac:dyDescent="0.15">
      <c r="A39" s="2" t="s">
        <v>61</v>
      </c>
      <c r="B39" s="6">
        <v>360</v>
      </c>
      <c r="C39" s="6">
        <v>40</v>
      </c>
      <c r="D39" s="7">
        <v>0.8</v>
      </c>
      <c r="E39" s="7">
        <v>0.1</v>
      </c>
      <c r="F39" s="5" t="s">
        <v>54</v>
      </c>
      <c r="G39" s="2" t="s">
        <v>60</v>
      </c>
      <c r="H39" s="2" t="s">
        <v>56</v>
      </c>
      <c r="I39" s="2" t="s">
        <v>12</v>
      </c>
      <c r="L39" s="2" t="s">
        <v>395</v>
      </c>
    </row>
    <row r="40" spans="1:12" ht="14" x14ac:dyDescent="0.15">
      <c r="A40" s="2" t="s">
        <v>62</v>
      </c>
      <c r="B40" s="6">
        <v>510</v>
      </c>
      <c r="C40" s="6">
        <v>40</v>
      </c>
      <c r="D40" s="7">
        <v>2.1</v>
      </c>
      <c r="E40" s="7">
        <v>0.15</v>
      </c>
      <c r="F40" s="5" t="s">
        <v>54</v>
      </c>
      <c r="G40" s="2" t="s">
        <v>63</v>
      </c>
      <c r="H40" s="2" t="s">
        <v>56</v>
      </c>
      <c r="I40" s="2" t="s">
        <v>12</v>
      </c>
      <c r="J40" s="2" t="s">
        <v>17</v>
      </c>
      <c r="L40" s="3" t="s">
        <v>403</v>
      </c>
    </row>
    <row r="41" spans="1:12" ht="14" x14ac:dyDescent="0.15">
      <c r="A41" s="2" t="s">
        <v>64</v>
      </c>
      <c r="B41" s="6">
        <v>530</v>
      </c>
      <c r="C41" s="6">
        <v>40</v>
      </c>
      <c r="D41" s="7">
        <v>1.9</v>
      </c>
      <c r="E41" s="7">
        <v>0.2</v>
      </c>
      <c r="F41" s="5" t="s">
        <v>54</v>
      </c>
      <c r="G41" s="2" t="s">
        <v>63</v>
      </c>
      <c r="H41" s="2" t="s">
        <v>56</v>
      </c>
      <c r="I41" s="2" t="s">
        <v>12</v>
      </c>
      <c r="J41" s="2" t="s">
        <v>22</v>
      </c>
      <c r="L41" s="3" t="s">
        <v>403</v>
      </c>
    </row>
    <row r="42" spans="1:12" ht="14" x14ac:dyDescent="0.15">
      <c r="A42" s="2" t="s">
        <v>65</v>
      </c>
      <c r="B42" s="6">
        <v>545</v>
      </c>
      <c r="C42" s="6">
        <v>40</v>
      </c>
      <c r="D42" s="7">
        <v>1.9</v>
      </c>
      <c r="E42" s="7">
        <v>0.2</v>
      </c>
      <c r="F42" s="5" t="s">
        <v>54</v>
      </c>
      <c r="G42" s="2" t="s">
        <v>63</v>
      </c>
      <c r="H42" s="2" t="s">
        <v>56</v>
      </c>
      <c r="I42" s="2" t="s">
        <v>12</v>
      </c>
      <c r="J42" s="2" t="s">
        <v>22</v>
      </c>
      <c r="L42" s="3" t="s">
        <v>403</v>
      </c>
    </row>
    <row r="43" spans="1:12" x14ac:dyDescent="0.15">
      <c r="A43" s="2" t="s">
        <v>66</v>
      </c>
      <c r="B43" s="6">
        <v>600</v>
      </c>
      <c r="C43" s="6">
        <v>40</v>
      </c>
      <c r="D43" s="7">
        <v>3</v>
      </c>
      <c r="E43" s="7">
        <v>0.3</v>
      </c>
      <c r="F43" s="5" t="s">
        <v>54</v>
      </c>
      <c r="G43" s="2" t="s">
        <v>63</v>
      </c>
      <c r="H43" s="2" t="s">
        <v>56</v>
      </c>
      <c r="I43" s="2" t="s">
        <v>12</v>
      </c>
      <c r="J43" s="2" t="s">
        <v>22</v>
      </c>
      <c r="L43" s="2" t="s">
        <v>400</v>
      </c>
    </row>
    <row r="44" spans="1:12" x14ac:dyDescent="0.15">
      <c r="A44" s="2" t="s">
        <v>67</v>
      </c>
      <c r="B44" s="6">
        <v>470</v>
      </c>
      <c r="C44" s="6">
        <v>50</v>
      </c>
      <c r="D44" s="7">
        <v>2.7</v>
      </c>
      <c r="E44" s="7">
        <v>0.2</v>
      </c>
      <c r="F44" s="5" t="s">
        <v>54</v>
      </c>
      <c r="G44" s="2" t="s">
        <v>63</v>
      </c>
      <c r="H44" s="2" t="s">
        <v>56</v>
      </c>
      <c r="I44" s="2" t="s">
        <v>12</v>
      </c>
      <c r="J44" s="2" t="s">
        <v>22</v>
      </c>
      <c r="L44" s="2" t="s">
        <v>401</v>
      </c>
    </row>
    <row r="45" spans="1:12" x14ac:dyDescent="0.15">
      <c r="A45" s="2" t="s">
        <v>68</v>
      </c>
      <c r="B45" s="6">
        <v>510</v>
      </c>
      <c r="C45" s="6">
        <v>40</v>
      </c>
      <c r="D45" s="7">
        <v>2</v>
      </c>
      <c r="E45" s="7">
        <v>0.2</v>
      </c>
      <c r="F45" s="5" t="s">
        <v>54</v>
      </c>
      <c r="G45" s="2" t="s">
        <v>63</v>
      </c>
      <c r="H45" s="2" t="s">
        <v>56</v>
      </c>
      <c r="I45" s="2" t="s">
        <v>12</v>
      </c>
      <c r="J45" s="2" t="s">
        <v>22</v>
      </c>
      <c r="L45" s="2" t="s">
        <v>402</v>
      </c>
    </row>
    <row r="46" spans="1:12" ht="14" x14ac:dyDescent="0.15">
      <c r="A46" s="2" t="s">
        <v>69</v>
      </c>
      <c r="B46" s="6">
        <v>525</v>
      </c>
      <c r="C46" s="6">
        <v>40</v>
      </c>
      <c r="D46" s="7">
        <v>2.85</v>
      </c>
      <c r="E46" s="7">
        <v>0.2</v>
      </c>
      <c r="F46" s="5" t="s">
        <v>54</v>
      </c>
      <c r="G46" s="2" t="s">
        <v>63</v>
      </c>
      <c r="H46" s="2" t="s">
        <v>56</v>
      </c>
      <c r="I46" s="2" t="s">
        <v>12</v>
      </c>
      <c r="J46" s="2" t="s">
        <v>17</v>
      </c>
      <c r="L46" s="3" t="s">
        <v>404</v>
      </c>
    </row>
    <row r="47" spans="1:12" ht="14" x14ac:dyDescent="0.15">
      <c r="A47" s="2" t="s">
        <v>69</v>
      </c>
      <c r="B47" s="6">
        <v>480</v>
      </c>
      <c r="C47" s="6">
        <v>40</v>
      </c>
      <c r="D47" s="7">
        <v>2.5</v>
      </c>
      <c r="E47" s="7">
        <v>0.2</v>
      </c>
      <c r="F47" s="5" t="s">
        <v>54</v>
      </c>
      <c r="G47" s="2" t="s">
        <v>63</v>
      </c>
      <c r="H47" s="2" t="s">
        <v>56</v>
      </c>
      <c r="I47" s="2" t="s">
        <v>12</v>
      </c>
      <c r="J47" s="2" t="s">
        <v>17</v>
      </c>
      <c r="L47" s="3" t="s">
        <v>404</v>
      </c>
    </row>
    <row r="48" spans="1:12" ht="14" x14ac:dyDescent="0.15">
      <c r="A48" s="2" t="s">
        <v>70</v>
      </c>
      <c r="B48" s="6">
        <v>570</v>
      </c>
      <c r="C48" s="6">
        <v>40</v>
      </c>
      <c r="D48" s="7">
        <v>2.1</v>
      </c>
      <c r="E48" s="7">
        <v>0.2</v>
      </c>
      <c r="F48" s="5" t="s">
        <v>54</v>
      </c>
      <c r="G48" s="2" t="s">
        <v>63</v>
      </c>
      <c r="H48" s="2" t="s">
        <v>56</v>
      </c>
      <c r="I48" s="2" t="s">
        <v>12</v>
      </c>
      <c r="J48" s="2" t="s">
        <v>22</v>
      </c>
      <c r="L48" s="3" t="s">
        <v>405</v>
      </c>
    </row>
    <row r="49" spans="1:12" ht="14" x14ac:dyDescent="0.15">
      <c r="A49" s="2" t="s">
        <v>70</v>
      </c>
      <c r="B49" s="6">
        <v>540</v>
      </c>
      <c r="C49" s="6">
        <v>40</v>
      </c>
      <c r="D49" s="7">
        <v>1.8</v>
      </c>
      <c r="E49" s="7">
        <v>0.2</v>
      </c>
      <c r="F49" s="5" t="s">
        <v>54</v>
      </c>
      <c r="G49" s="2" t="s">
        <v>63</v>
      </c>
      <c r="H49" s="2" t="s">
        <v>56</v>
      </c>
      <c r="I49" s="2" t="s">
        <v>12</v>
      </c>
      <c r="J49" s="2" t="s">
        <v>22</v>
      </c>
      <c r="L49" s="3" t="s">
        <v>405</v>
      </c>
    </row>
    <row r="50" spans="1:12" ht="14" x14ac:dyDescent="0.15">
      <c r="A50" s="2" t="s">
        <v>70</v>
      </c>
      <c r="B50" s="6">
        <v>380</v>
      </c>
      <c r="C50" s="6">
        <v>50</v>
      </c>
      <c r="D50" s="7">
        <v>1.7</v>
      </c>
      <c r="E50" s="7">
        <v>0.2</v>
      </c>
      <c r="F50" s="5" t="s">
        <v>54</v>
      </c>
      <c r="G50" s="2" t="s">
        <v>63</v>
      </c>
      <c r="H50" s="2" t="s">
        <v>56</v>
      </c>
      <c r="I50" s="2" t="s">
        <v>12</v>
      </c>
      <c r="J50" s="2" t="s">
        <v>22</v>
      </c>
      <c r="L50" s="3" t="s">
        <v>405</v>
      </c>
    </row>
    <row r="51" spans="1:12" ht="14" x14ac:dyDescent="0.15">
      <c r="A51" s="2" t="s">
        <v>64</v>
      </c>
      <c r="B51" s="6">
        <v>530</v>
      </c>
      <c r="C51" s="6">
        <v>40</v>
      </c>
      <c r="D51" s="7">
        <v>1.95</v>
      </c>
      <c r="E51" s="7">
        <v>0.15</v>
      </c>
      <c r="F51" s="5" t="s">
        <v>54</v>
      </c>
      <c r="G51" s="2" t="s">
        <v>63</v>
      </c>
      <c r="H51" s="2" t="s">
        <v>56</v>
      </c>
      <c r="I51" s="2" t="s">
        <v>12</v>
      </c>
      <c r="J51" s="2" t="s">
        <v>17</v>
      </c>
      <c r="L51" s="3" t="s">
        <v>406</v>
      </c>
    </row>
    <row r="52" spans="1:12" x14ac:dyDescent="0.15">
      <c r="A52" s="2" t="s">
        <v>71</v>
      </c>
      <c r="B52" s="6">
        <v>450</v>
      </c>
      <c r="C52" s="6">
        <v>50</v>
      </c>
      <c r="D52" s="7">
        <v>1.85</v>
      </c>
      <c r="E52" s="7">
        <v>0.1</v>
      </c>
      <c r="F52" s="5" t="s">
        <v>54</v>
      </c>
      <c r="G52" s="2" t="s">
        <v>63</v>
      </c>
      <c r="H52" s="2" t="s">
        <v>56</v>
      </c>
      <c r="I52" s="2" t="s">
        <v>12</v>
      </c>
      <c r="J52" s="2" t="s">
        <v>17</v>
      </c>
      <c r="L52" s="2" t="s">
        <v>407</v>
      </c>
    </row>
    <row r="53" spans="1:12" x14ac:dyDescent="0.15">
      <c r="A53" s="2" t="s">
        <v>71</v>
      </c>
      <c r="B53" s="6">
        <v>570</v>
      </c>
      <c r="C53" s="6">
        <v>40</v>
      </c>
      <c r="D53" s="7">
        <v>2.2000000000000002</v>
      </c>
      <c r="E53" s="7">
        <v>0.1</v>
      </c>
      <c r="F53" s="5" t="s">
        <v>54</v>
      </c>
      <c r="G53" s="2" t="s">
        <v>63</v>
      </c>
      <c r="H53" s="2" t="s">
        <v>56</v>
      </c>
      <c r="I53" s="2" t="s">
        <v>12</v>
      </c>
      <c r="J53" s="2" t="s">
        <v>17</v>
      </c>
      <c r="L53" s="2" t="s">
        <v>407</v>
      </c>
    </row>
    <row r="54" spans="1:12" x14ac:dyDescent="0.15">
      <c r="A54" s="2" t="s">
        <v>72</v>
      </c>
      <c r="B54" s="6">
        <v>540</v>
      </c>
      <c r="C54" s="6">
        <v>40</v>
      </c>
      <c r="D54" s="7">
        <v>2.2000000000000002</v>
      </c>
      <c r="E54" s="7">
        <v>0.1</v>
      </c>
      <c r="F54" s="5" t="s">
        <v>54</v>
      </c>
      <c r="G54" s="2" t="s">
        <v>63</v>
      </c>
      <c r="H54" s="2" t="s">
        <v>56</v>
      </c>
      <c r="I54" s="2" t="s">
        <v>12</v>
      </c>
      <c r="J54" s="2" t="s">
        <v>17</v>
      </c>
      <c r="L54" s="2" t="s">
        <v>408</v>
      </c>
    </row>
    <row r="55" spans="1:12" x14ac:dyDescent="0.15">
      <c r="A55" s="2" t="s">
        <v>72</v>
      </c>
      <c r="B55" s="6">
        <v>535</v>
      </c>
      <c r="C55" s="6">
        <v>40</v>
      </c>
      <c r="D55" s="7">
        <v>3</v>
      </c>
      <c r="E55" s="7">
        <v>0.2</v>
      </c>
      <c r="F55" s="5" t="s">
        <v>54</v>
      </c>
      <c r="G55" s="2" t="s">
        <v>63</v>
      </c>
      <c r="H55" s="2" t="s">
        <v>56</v>
      </c>
      <c r="I55" s="2" t="s">
        <v>12</v>
      </c>
      <c r="J55" s="2" t="s">
        <v>17</v>
      </c>
      <c r="L55" s="2" t="s">
        <v>408</v>
      </c>
    </row>
    <row r="56" spans="1:12" x14ac:dyDescent="0.15">
      <c r="A56" s="2" t="s">
        <v>67</v>
      </c>
      <c r="B56" s="6">
        <v>490</v>
      </c>
      <c r="C56" s="6">
        <v>40</v>
      </c>
      <c r="D56" s="7">
        <v>2.6</v>
      </c>
      <c r="E56" s="7">
        <v>0.1</v>
      </c>
      <c r="F56" s="5" t="s">
        <v>54</v>
      </c>
      <c r="G56" s="2" t="s">
        <v>63</v>
      </c>
      <c r="H56" s="2" t="s">
        <v>56</v>
      </c>
      <c r="I56" s="2" t="s">
        <v>12</v>
      </c>
      <c r="J56" s="2" t="s">
        <v>17</v>
      </c>
      <c r="L56" s="2" t="s">
        <v>401</v>
      </c>
    </row>
    <row r="57" spans="1:12" x14ac:dyDescent="0.15">
      <c r="A57" s="2" t="s">
        <v>68</v>
      </c>
      <c r="B57" s="6">
        <v>510</v>
      </c>
      <c r="C57" s="6">
        <v>40</v>
      </c>
      <c r="D57" s="7">
        <v>2.0499999999999998</v>
      </c>
      <c r="E57" s="7">
        <v>0.15</v>
      </c>
      <c r="F57" s="5" t="s">
        <v>54</v>
      </c>
      <c r="G57" s="2" t="s">
        <v>63</v>
      </c>
      <c r="H57" s="2" t="s">
        <v>56</v>
      </c>
      <c r="I57" s="2" t="s">
        <v>12</v>
      </c>
      <c r="J57" s="2" t="s">
        <v>17</v>
      </c>
      <c r="L57" s="2" t="s">
        <v>402</v>
      </c>
    </row>
    <row r="58" spans="1:12" x14ac:dyDescent="0.15">
      <c r="A58" s="2" t="s">
        <v>73</v>
      </c>
      <c r="B58" s="6">
        <f>552.5</f>
        <v>552.5</v>
      </c>
      <c r="C58" s="6">
        <v>40</v>
      </c>
      <c r="D58" s="7">
        <f>(2.31-2.18)/2+2.18</f>
        <v>2.2450000000000001</v>
      </c>
      <c r="E58" s="7">
        <v>0.13</v>
      </c>
      <c r="F58" s="5" t="s">
        <v>54</v>
      </c>
      <c r="G58" s="2" t="s">
        <v>63</v>
      </c>
      <c r="H58" s="2" t="s">
        <v>56</v>
      </c>
      <c r="I58" s="2" t="s">
        <v>12</v>
      </c>
      <c r="J58" s="2" t="s">
        <v>17</v>
      </c>
      <c r="L58" s="2" t="s">
        <v>409</v>
      </c>
    </row>
    <row r="59" spans="1:12" x14ac:dyDescent="0.15">
      <c r="A59" s="2" t="s">
        <v>74</v>
      </c>
      <c r="B59" s="6">
        <v>500</v>
      </c>
      <c r="C59" s="6">
        <v>40</v>
      </c>
      <c r="D59" s="7">
        <v>2.6</v>
      </c>
      <c r="E59" s="7">
        <v>0.1</v>
      </c>
      <c r="F59" s="5" t="s">
        <v>54</v>
      </c>
      <c r="G59" s="2" t="s">
        <v>63</v>
      </c>
      <c r="H59" s="2" t="s">
        <v>56</v>
      </c>
      <c r="I59" s="2" t="s">
        <v>12</v>
      </c>
      <c r="J59" s="2" t="s">
        <v>17</v>
      </c>
      <c r="L59" s="2" t="s">
        <v>410</v>
      </c>
    </row>
    <row r="60" spans="1:12" x14ac:dyDescent="0.15">
      <c r="A60" s="2" t="s">
        <v>75</v>
      </c>
      <c r="B60" s="6">
        <v>650</v>
      </c>
      <c r="C60" s="6">
        <v>40</v>
      </c>
      <c r="D60" s="7">
        <v>2.1</v>
      </c>
      <c r="E60" s="7">
        <v>0.1</v>
      </c>
      <c r="F60" s="5" t="s">
        <v>54</v>
      </c>
      <c r="G60" s="2" t="s">
        <v>63</v>
      </c>
      <c r="H60" s="2" t="s">
        <v>56</v>
      </c>
      <c r="I60" s="2" t="s">
        <v>12</v>
      </c>
      <c r="J60" s="2" t="s">
        <v>17</v>
      </c>
      <c r="L60" s="2" t="s">
        <v>411</v>
      </c>
    </row>
    <row r="61" spans="1:12" x14ac:dyDescent="0.15">
      <c r="A61" s="2" t="s">
        <v>76</v>
      </c>
      <c r="B61" s="6">
        <v>536</v>
      </c>
      <c r="C61" s="6">
        <v>40</v>
      </c>
      <c r="D61" s="7">
        <v>2.5</v>
      </c>
      <c r="E61" s="7">
        <v>0.2</v>
      </c>
      <c r="F61" s="5" t="s">
        <v>54</v>
      </c>
      <c r="G61" s="2" t="s">
        <v>63</v>
      </c>
      <c r="H61" s="2" t="s">
        <v>77</v>
      </c>
      <c r="I61" s="2" t="s">
        <v>12</v>
      </c>
      <c r="J61" s="2" t="s">
        <v>552</v>
      </c>
      <c r="L61" s="2" t="s">
        <v>412</v>
      </c>
    </row>
    <row r="62" spans="1:12" x14ac:dyDescent="0.15">
      <c r="A62" s="2" t="s">
        <v>78</v>
      </c>
      <c r="B62" s="6">
        <v>510</v>
      </c>
      <c r="C62" s="6">
        <v>40</v>
      </c>
      <c r="D62" s="7">
        <v>2.95</v>
      </c>
      <c r="E62" s="7">
        <v>0.2</v>
      </c>
      <c r="F62" s="5" t="s">
        <v>54</v>
      </c>
      <c r="G62" s="2" t="s">
        <v>79</v>
      </c>
      <c r="H62" s="2" t="s">
        <v>77</v>
      </c>
      <c r="I62" s="2" t="s">
        <v>12</v>
      </c>
      <c r="J62" s="2" t="s">
        <v>553</v>
      </c>
      <c r="L62" s="2" t="s">
        <v>413</v>
      </c>
    </row>
    <row r="63" spans="1:12" ht="14" x14ac:dyDescent="0.15">
      <c r="A63" s="2" t="s">
        <v>80</v>
      </c>
      <c r="B63" s="5">
        <v>550</v>
      </c>
      <c r="C63" s="5">
        <v>40</v>
      </c>
      <c r="D63" s="5">
        <v>1</v>
      </c>
      <c r="E63" s="5">
        <v>0.2</v>
      </c>
      <c r="F63" s="5" t="s">
        <v>81</v>
      </c>
      <c r="G63" s="2" t="s">
        <v>82</v>
      </c>
      <c r="H63" s="2" t="s">
        <v>83</v>
      </c>
      <c r="I63" s="2" t="s">
        <v>12</v>
      </c>
      <c r="L63" s="3" t="s">
        <v>414</v>
      </c>
    </row>
    <row r="64" spans="1:12" x14ac:dyDescent="0.15">
      <c r="A64" s="2" t="s">
        <v>84</v>
      </c>
      <c r="B64" s="5">
        <v>625</v>
      </c>
      <c r="C64" s="5">
        <v>40</v>
      </c>
      <c r="D64" s="5">
        <v>1.5</v>
      </c>
      <c r="E64" s="5">
        <v>0.1</v>
      </c>
      <c r="F64" s="5" t="s">
        <v>81</v>
      </c>
      <c r="G64" s="2" t="s">
        <v>82</v>
      </c>
      <c r="H64" s="2" t="s">
        <v>83</v>
      </c>
      <c r="I64" s="2" t="s">
        <v>12</v>
      </c>
      <c r="J64" s="2" t="s">
        <v>13</v>
      </c>
      <c r="L64" s="2" t="s">
        <v>415</v>
      </c>
    </row>
    <row r="65" spans="1:12" ht="14" x14ac:dyDescent="0.15">
      <c r="A65" s="2" t="s">
        <v>85</v>
      </c>
      <c r="B65" s="5">
        <v>612</v>
      </c>
      <c r="C65" s="5">
        <v>40</v>
      </c>
      <c r="D65" s="5">
        <v>1.6</v>
      </c>
      <c r="E65" s="5">
        <v>0.1</v>
      </c>
      <c r="F65" s="5" t="s">
        <v>81</v>
      </c>
      <c r="G65" s="2" t="s">
        <v>82</v>
      </c>
      <c r="H65" s="2" t="s">
        <v>86</v>
      </c>
      <c r="I65" s="2" t="s">
        <v>12</v>
      </c>
      <c r="J65" s="2" t="s">
        <v>22</v>
      </c>
      <c r="L65" s="3" t="s">
        <v>416</v>
      </c>
    </row>
    <row r="66" spans="1:12" ht="14" x14ac:dyDescent="0.15">
      <c r="A66" s="2" t="s">
        <v>87</v>
      </c>
      <c r="B66" s="5">
        <v>600</v>
      </c>
      <c r="C66" s="5">
        <v>40</v>
      </c>
      <c r="D66" s="5">
        <v>2</v>
      </c>
      <c r="E66" s="5">
        <v>0.3</v>
      </c>
      <c r="F66" s="5" t="s">
        <v>81</v>
      </c>
      <c r="G66" s="2" t="s">
        <v>88</v>
      </c>
      <c r="H66" s="2" t="s">
        <v>83</v>
      </c>
      <c r="I66" s="2" t="s">
        <v>48</v>
      </c>
      <c r="J66" s="2" t="s">
        <v>265</v>
      </c>
      <c r="L66" s="3" t="s">
        <v>417</v>
      </c>
    </row>
    <row r="67" spans="1:12" ht="14" x14ac:dyDescent="0.15">
      <c r="A67" s="2" t="s">
        <v>89</v>
      </c>
      <c r="B67" s="5">
        <f>(630-580)/2+580</f>
        <v>605</v>
      </c>
      <c r="C67" s="5">
        <v>40</v>
      </c>
      <c r="D67" s="5">
        <v>1.8</v>
      </c>
      <c r="E67" s="5">
        <v>0.2</v>
      </c>
      <c r="F67" s="5" t="s">
        <v>81</v>
      </c>
      <c r="G67" s="2" t="s">
        <v>90</v>
      </c>
      <c r="H67" s="2" t="s">
        <v>83</v>
      </c>
      <c r="I67" s="2" t="s">
        <v>12</v>
      </c>
      <c r="J67" s="2" t="s">
        <v>22</v>
      </c>
      <c r="L67" s="3" t="s">
        <v>418</v>
      </c>
    </row>
    <row r="68" spans="1:12" x14ac:dyDescent="0.15">
      <c r="A68" s="2" t="s">
        <v>89</v>
      </c>
      <c r="B68" s="5">
        <f>(650-580)/2+580</f>
        <v>615</v>
      </c>
      <c r="C68" s="5">
        <v>40</v>
      </c>
      <c r="D68" s="5">
        <v>1.3</v>
      </c>
      <c r="E68" s="5">
        <v>0.1</v>
      </c>
      <c r="F68" s="5" t="s">
        <v>81</v>
      </c>
      <c r="G68" s="2" t="s">
        <v>90</v>
      </c>
      <c r="H68" s="2" t="s">
        <v>83</v>
      </c>
      <c r="I68" s="2" t="s">
        <v>12</v>
      </c>
      <c r="J68" s="2" t="s">
        <v>22</v>
      </c>
      <c r="L68" s="2" t="s">
        <v>418</v>
      </c>
    </row>
    <row r="69" spans="1:12" x14ac:dyDescent="0.15">
      <c r="A69" s="2" t="s">
        <v>89</v>
      </c>
      <c r="B69" s="5">
        <v>570</v>
      </c>
      <c r="C69" s="5">
        <v>40</v>
      </c>
      <c r="D69" s="5">
        <v>1.95</v>
      </c>
      <c r="E69" s="5">
        <v>0.35</v>
      </c>
      <c r="F69" s="5" t="s">
        <v>81</v>
      </c>
      <c r="G69" s="2" t="s">
        <v>90</v>
      </c>
      <c r="H69" s="2" t="s">
        <v>83</v>
      </c>
      <c r="I69" s="2" t="s">
        <v>12</v>
      </c>
      <c r="J69" s="2" t="s">
        <v>22</v>
      </c>
      <c r="L69" s="2" t="s">
        <v>418</v>
      </c>
    </row>
    <row r="70" spans="1:12" x14ac:dyDescent="0.15">
      <c r="A70" s="2" t="s">
        <v>84</v>
      </c>
      <c r="B70" s="5">
        <f>775</f>
        <v>775</v>
      </c>
      <c r="C70" s="5">
        <v>40</v>
      </c>
      <c r="D70" s="5">
        <v>1.65</v>
      </c>
      <c r="E70" s="5">
        <v>0.15</v>
      </c>
      <c r="F70" s="5" t="s">
        <v>81</v>
      </c>
      <c r="G70" s="2" t="s">
        <v>91</v>
      </c>
      <c r="H70" s="2" t="s">
        <v>83</v>
      </c>
      <c r="I70" s="2" t="s">
        <v>48</v>
      </c>
      <c r="J70" s="2" t="s">
        <v>13</v>
      </c>
      <c r="L70" s="2" t="s">
        <v>415</v>
      </c>
    </row>
    <row r="71" spans="1:12" ht="14" x14ac:dyDescent="0.15">
      <c r="A71" s="2" t="s">
        <v>92</v>
      </c>
      <c r="B71" s="5">
        <v>750</v>
      </c>
      <c r="C71" s="5">
        <v>40</v>
      </c>
      <c r="D71" s="5">
        <v>1.5</v>
      </c>
      <c r="E71" s="5">
        <v>0.1</v>
      </c>
      <c r="F71" s="5" t="s">
        <v>81</v>
      </c>
      <c r="G71" s="2" t="s">
        <v>91</v>
      </c>
      <c r="H71" s="2" t="s">
        <v>83</v>
      </c>
      <c r="I71" s="2" t="s">
        <v>48</v>
      </c>
      <c r="J71" s="2" t="s">
        <v>13</v>
      </c>
      <c r="L71" s="3" t="s">
        <v>419</v>
      </c>
    </row>
    <row r="72" spans="1:12" x14ac:dyDescent="0.15">
      <c r="A72" s="2" t="s">
        <v>84</v>
      </c>
      <c r="B72" s="5">
        <v>444</v>
      </c>
      <c r="C72" s="5">
        <v>82</v>
      </c>
      <c r="D72" s="5">
        <v>0.64</v>
      </c>
      <c r="E72" s="5">
        <v>0.24</v>
      </c>
      <c r="F72" s="5" t="s">
        <v>81</v>
      </c>
      <c r="G72" s="2" t="s">
        <v>93</v>
      </c>
      <c r="H72" s="2" t="s">
        <v>83</v>
      </c>
      <c r="I72" s="2" t="s">
        <v>48</v>
      </c>
      <c r="J72" s="2" t="s">
        <v>13</v>
      </c>
      <c r="L72" s="2" t="s">
        <v>415</v>
      </c>
    </row>
    <row r="73" spans="1:12" x14ac:dyDescent="0.15">
      <c r="A73" s="2" t="s">
        <v>84</v>
      </c>
      <c r="B73" s="5">
        <v>556</v>
      </c>
      <c r="C73" s="5">
        <v>107</v>
      </c>
      <c r="D73" s="5">
        <v>1.1499999999999999</v>
      </c>
      <c r="E73" s="5">
        <v>0.31</v>
      </c>
      <c r="F73" s="5" t="s">
        <v>81</v>
      </c>
      <c r="G73" s="2" t="s">
        <v>93</v>
      </c>
      <c r="H73" s="2" t="s">
        <v>83</v>
      </c>
      <c r="I73" s="2" t="s">
        <v>48</v>
      </c>
      <c r="J73" s="2" t="s">
        <v>13</v>
      </c>
      <c r="L73" s="2" t="s">
        <v>415</v>
      </c>
    </row>
    <row r="74" spans="1:12" x14ac:dyDescent="0.15">
      <c r="A74" s="2" t="s">
        <v>94</v>
      </c>
      <c r="B74" s="6">
        <v>575</v>
      </c>
      <c r="C74" s="6">
        <v>40</v>
      </c>
      <c r="D74" s="7">
        <v>2</v>
      </c>
      <c r="E74" s="7">
        <v>0.5</v>
      </c>
      <c r="F74" s="5" t="s">
        <v>95</v>
      </c>
      <c r="G74" s="2" t="s">
        <v>96</v>
      </c>
      <c r="H74" s="2" t="s">
        <v>11</v>
      </c>
      <c r="I74" s="2" t="s">
        <v>12</v>
      </c>
      <c r="J74" s="2" t="s">
        <v>17</v>
      </c>
      <c r="L74" s="2" t="s">
        <v>420</v>
      </c>
    </row>
    <row r="75" spans="1:12" ht="14" x14ac:dyDescent="0.15">
      <c r="A75" s="2" t="s">
        <v>97</v>
      </c>
      <c r="B75" s="6">
        <v>600</v>
      </c>
      <c r="C75" s="6">
        <v>40</v>
      </c>
      <c r="D75" s="7">
        <v>1.5</v>
      </c>
      <c r="E75" s="7">
        <v>0.1</v>
      </c>
      <c r="F75" s="5" t="s">
        <v>95</v>
      </c>
      <c r="G75" s="2" t="s">
        <v>96</v>
      </c>
      <c r="H75" s="2" t="s">
        <v>11</v>
      </c>
      <c r="I75" s="2" t="s">
        <v>12</v>
      </c>
      <c r="J75" s="2" t="s">
        <v>22</v>
      </c>
      <c r="L75" s="3" t="s">
        <v>421</v>
      </c>
    </row>
    <row r="76" spans="1:12" x14ac:dyDescent="0.15">
      <c r="A76" s="2" t="s">
        <v>97</v>
      </c>
      <c r="B76" s="6">
        <v>615</v>
      </c>
      <c r="C76" s="6">
        <v>65</v>
      </c>
      <c r="D76" s="7">
        <v>1.7</v>
      </c>
      <c r="E76" s="7">
        <v>0.1</v>
      </c>
      <c r="F76" s="5" t="s">
        <v>95</v>
      </c>
      <c r="G76" s="2" t="s">
        <v>96</v>
      </c>
      <c r="H76" s="2" t="s">
        <v>11</v>
      </c>
      <c r="I76" s="2" t="s">
        <v>12</v>
      </c>
      <c r="J76" s="2" t="s">
        <v>22</v>
      </c>
      <c r="L76" s="2" t="s">
        <v>421</v>
      </c>
    </row>
    <row r="77" spans="1:12" x14ac:dyDescent="0.15">
      <c r="A77" s="2" t="s">
        <v>98</v>
      </c>
      <c r="B77" s="6">
        <v>569</v>
      </c>
      <c r="C77" s="6">
        <v>40</v>
      </c>
      <c r="D77" s="7">
        <v>2.0299999999999998</v>
      </c>
      <c r="E77" s="7">
        <v>0.28000000000000003</v>
      </c>
      <c r="F77" s="5" t="s">
        <v>95</v>
      </c>
      <c r="G77" s="2" t="s">
        <v>96</v>
      </c>
      <c r="H77" s="2" t="s">
        <v>11</v>
      </c>
      <c r="I77" s="2" t="s">
        <v>12</v>
      </c>
      <c r="J77" s="2" t="s">
        <v>13</v>
      </c>
      <c r="L77" s="2" t="s">
        <v>422</v>
      </c>
    </row>
    <row r="78" spans="1:12" x14ac:dyDescent="0.15">
      <c r="A78" s="2" t="s">
        <v>99</v>
      </c>
      <c r="B78" s="6">
        <v>520</v>
      </c>
      <c r="C78" s="6">
        <v>40</v>
      </c>
      <c r="D78" s="7">
        <v>2.2999999999999998</v>
      </c>
      <c r="E78" s="7">
        <v>0.1</v>
      </c>
      <c r="F78" s="5" t="s">
        <v>100</v>
      </c>
      <c r="G78" s="2" t="s">
        <v>101</v>
      </c>
      <c r="H78" s="2" t="s">
        <v>11</v>
      </c>
      <c r="I78" s="2" t="s">
        <v>12</v>
      </c>
      <c r="J78" s="2" t="s">
        <v>17</v>
      </c>
      <c r="L78" s="2" t="s">
        <v>423</v>
      </c>
    </row>
    <row r="79" spans="1:12" x14ac:dyDescent="0.15">
      <c r="A79" s="2" t="s">
        <v>102</v>
      </c>
      <c r="B79" s="6">
        <f>(420-335)/2+335</f>
        <v>377.5</v>
      </c>
      <c r="C79" s="6">
        <v>42.5</v>
      </c>
      <c r="D79" s="7">
        <v>2.25</v>
      </c>
      <c r="E79" s="7">
        <v>0.35</v>
      </c>
      <c r="F79" s="5" t="s">
        <v>100</v>
      </c>
      <c r="G79" s="2" t="s">
        <v>103</v>
      </c>
      <c r="H79" s="2" t="s">
        <v>11</v>
      </c>
      <c r="I79" s="2" t="s">
        <v>12</v>
      </c>
      <c r="J79" s="2" t="s">
        <v>17</v>
      </c>
      <c r="L79" s="2" t="s">
        <v>424</v>
      </c>
    </row>
    <row r="80" spans="1:12" x14ac:dyDescent="0.15">
      <c r="A80" s="2" t="s">
        <v>104</v>
      </c>
      <c r="B80" s="6">
        <v>300</v>
      </c>
      <c r="C80" s="6">
        <v>50</v>
      </c>
      <c r="D80" s="7">
        <v>0.95</v>
      </c>
      <c r="E80" s="7">
        <v>0.15</v>
      </c>
      <c r="F80" s="5" t="s">
        <v>100</v>
      </c>
      <c r="G80" s="2" t="s">
        <v>105</v>
      </c>
      <c r="H80" s="2" t="s">
        <v>11</v>
      </c>
      <c r="I80" s="2" t="s">
        <v>12</v>
      </c>
      <c r="J80" s="2" t="s">
        <v>25</v>
      </c>
      <c r="L80" s="2" t="s">
        <v>425</v>
      </c>
    </row>
    <row r="81" spans="1:12" x14ac:dyDescent="0.15">
      <c r="A81" s="2" t="s">
        <v>104</v>
      </c>
      <c r="B81" s="6">
        <v>400</v>
      </c>
      <c r="C81" s="6">
        <v>50</v>
      </c>
      <c r="D81" s="7">
        <v>0.95</v>
      </c>
      <c r="E81" s="7">
        <v>0.15</v>
      </c>
      <c r="F81" s="5" t="s">
        <v>100</v>
      </c>
      <c r="G81" s="2" t="s">
        <v>105</v>
      </c>
      <c r="H81" s="2" t="s">
        <v>11</v>
      </c>
      <c r="I81" s="2" t="s">
        <v>12</v>
      </c>
      <c r="J81" s="2" t="s">
        <v>25</v>
      </c>
      <c r="L81" s="2" t="s">
        <v>425</v>
      </c>
    </row>
    <row r="82" spans="1:12" x14ac:dyDescent="0.15">
      <c r="A82" s="2" t="s">
        <v>104</v>
      </c>
      <c r="B82" s="6">
        <f>(450-400)/2+400</f>
        <v>425</v>
      </c>
      <c r="C82" s="6">
        <v>40</v>
      </c>
      <c r="D82" s="7">
        <v>1</v>
      </c>
      <c r="E82" s="7">
        <v>0.1</v>
      </c>
      <c r="F82" s="5" t="s">
        <v>100</v>
      </c>
      <c r="G82" s="2" t="s">
        <v>106</v>
      </c>
      <c r="H82" s="2" t="s">
        <v>11</v>
      </c>
      <c r="I82" s="2" t="s">
        <v>12</v>
      </c>
      <c r="J82" s="2" t="s">
        <v>25</v>
      </c>
      <c r="L82" s="2" t="s">
        <v>425</v>
      </c>
    </row>
    <row r="83" spans="1:12" x14ac:dyDescent="0.15">
      <c r="A83" s="2" t="s">
        <v>104</v>
      </c>
      <c r="B83" s="6">
        <f>(475-400)/2+400</f>
        <v>437.5</v>
      </c>
      <c r="C83" s="6">
        <v>40</v>
      </c>
      <c r="D83" s="7">
        <v>1.25</v>
      </c>
      <c r="E83" s="7">
        <v>0.125</v>
      </c>
      <c r="F83" s="5" t="s">
        <v>100</v>
      </c>
      <c r="G83" s="2" t="s">
        <v>107</v>
      </c>
      <c r="H83" s="2" t="s">
        <v>11</v>
      </c>
      <c r="I83" s="2" t="s">
        <v>12</v>
      </c>
      <c r="J83" s="2" t="s">
        <v>25</v>
      </c>
      <c r="L83" s="2" t="s">
        <v>425</v>
      </c>
    </row>
    <row r="84" spans="1:12" x14ac:dyDescent="0.15">
      <c r="A84" s="4" t="s">
        <v>108</v>
      </c>
      <c r="B84" s="6">
        <v>500</v>
      </c>
      <c r="C84" s="6">
        <v>40</v>
      </c>
      <c r="D84" s="7">
        <v>1.5</v>
      </c>
      <c r="E84" s="7">
        <v>0.1</v>
      </c>
      <c r="F84" s="5" t="s">
        <v>109</v>
      </c>
      <c r="G84" s="2" t="s">
        <v>110</v>
      </c>
      <c r="H84" s="2" t="s">
        <v>28</v>
      </c>
      <c r="I84" s="2" t="s">
        <v>12</v>
      </c>
      <c r="J84" s="2" t="s">
        <v>25</v>
      </c>
      <c r="L84" s="2" t="s">
        <v>426</v>
      </c>
    </row>
    <row r="85" spans="1:12" ht="14" x14ac:dyDescent="0.15">
      <c r="A85" s="2" t="s">
        <v>111</v>
      </c>
      <c r="B85" s="6">
        <v>375</v>
      </c>
      <c r="C85" s="6">
        <v>40</v>
      </c>
      <c r="D85" s="7">
        <v>1.5</v>
      </c>
      <c r="E85" s="7">
        <v>0.2</v>
      </c>
      <c r="F85" s="5" t="s">
        <v>109</v>
      </c>
      <c r="G85" s="2" t="s">
        <v>112</v>
      </c>
      <c r="H85" s="2" t="s">
        <v>11</v>
      </c>
      <c r="I85" s="2" t="s">
        <v>12</v>
      </c>
      <c r="J85" s="2" t="s">
        <v>13</v>
      </c>
      <c r="L85" s="3" t="s">
        <v>427</v>
      </c>
    </row>
    <row r="86" spans="1:12" x14ac:dyDescent="0.15">
      <c r="A86" s="2" t="s">
        <v>113</v>
      </c>
      <c r="B86" s="6">
        <v>480</v>
      </c>
      <c r="C86" s="6">
        <v>40</v>
      </c>
      <c r="D86" s="7">
        <v>2.2999999999999998</v>
      </c>
      <c r="E86" s="7">
        <v>0.3</v>
      </c>
      <c r="F86" s="5" t="s">
        <v>109</v>
      </c>
      <c r="G86" s="2" t="s">
        <v>112</v>
      </c>
      <c r="H86" s="2" t="s">
        <v>11</v>
      </c>
      <c r="I86" s="2" t="s">
        <v>12</v>
      </c>
      <c r="J86" s="2" t="s">
        <v>17</v>
      </c>
      <c r="L86" s="2" t="s">
        <v>428</v>
      </c>
    </row>
    <row r="87" spans="1:12" ht="14" x14ac:dyDescent="0.15">
      <c r="A87" s="2" t="s">
        <v>114</v>
      </c>
      <c r="B87" s="6">
        <v>475</v>
      </c>
      <c r="C87" s="6">
        <v>40</v>
      </c>
      <c r="D87" s="7">
        <v>1.9</v>
      </c>
      <c r="E87" s="7">
        <v>0.1</v>
      </c>
      <c r="F87" s="5" t="s">
        <v>109</v>
      </c>
      <c r="G87" s="2" t="s">
        <v>115</v>
      </c>
      <c r="H87" s="2" t="s">
        <v>11</v>
      </c>
      <c r="I87" s="2" t="s">
        <v>12</v>
      </c>
      <c r="J87" s="2" t="s">
        <v>13</v>
      </c>
      <c r="L87" s="3" t="s">
        <v>429</v>
      </c>
    </row>
    <row r="88" spans="1:12" ht="14" x14ac:dyDescent="0.15">
      <c r="A88" s="2" t="s">
        <v>116</v>
      </c>
      <c r="B88" s="6">
        <v>560</v>
      </c>
      <c r="C88" s="6">
        <v>40</v>
      </c>
      <c r="D88" s="7">
        <v>1.7</v>
      </c>
      <c r="E88" s="7">
        <v>0.3</v>
      </c>
      <c r="F88" s="5" t="s">
        <v>117</v>
      </c>
      <c r="G88" s="2" t="s">
        <v>118</v>
      </c>
      <c r="H88" s="2" t="s">
        <v>11</v>
      </c>
      <c r="I88" s="2" t="s">
        <v>48</v>
      </c>
      <c r="J88" s="2" t="s">
        <v>17</v>
      </c>
      <c r="L88" s="3" t="s">
        <v>430</v>
      </c>
    </row>
    <row r="89" spans="1:12" x14ac:dyDescent="0.15">
      <c r="A89" s="2" t="s">
        <v>116</v>
      </c>
      <c r="B89" s="6">
        <v>565</v>
      </c>
      <c r="C89" s="6">
        <v>40</v>
      </c>
      <c r="D89" s="7">
        <v>1.6</v>
      </c>
      <c r="E89" s="7">
        <v>0.4</v>
      </c>
      <c r="F89" s="5" t="s">
        <v>117</v>
      </c>
      <c r="G89" s="2" t="s">
        <v>118</v>
      </c>
      <c r="H89" s="2" t="s">
        <v>11</v>
      </c>
      <c r="I89" s="2" t="s">
        <v>48</v>
      </c>
      <c r="J89" s="2" t="s">
        <v>17</v>
      </c>
      <c r="L89" s="2" t="s">
        <v>430</v>
      </c>
    </row>
    <row r="90" spans="1:12" x14ac:dyDescent="0.15">
      <c r="A90" s="2" t="s">
        <v>119</v>
      </c>
      <c r="B90" s="6">
        <v>350</v>
      </c>
      <c r="C90" s="6">
        <v>50</v>
      </c>
      <c r="D90" s="7">
        <v>1.3</v>
      </c>
      <c r="E90" s="7">
        <v>0.1</v>
      </c>
      <c r="F90" s="5" t="s">
        <v>120</v>
      </c>
      <c r="G90" s="2" t="s">
        <v>121</v>
      </c>
      <c r="H90" s="2" t="s">
        <v>11</v>
      </c>
      <c r="I90" s="2" t="s">
        <v>12</v>
      </c>
      <c r="J90" s="2" t="s">
        <v>22</v>
      </c>
      <c r="L90" s="2" t="s">
        <v>431</v>
      </c>
    </row>
    <row r="91" spans="1:12" ht="14" x14ac:dyDescent="0.15">
      <c r="A91" s="2" t="s">
        <v>122</v>
      </c>
      <c r="B91" s="6">
        <v>450</v>
      </c>
      <c r="C91" s="6">
        <v>40</v>
      </c>
      <c r="D91" s="7">
        <v>1.2</v>
      </c>
      <c r="E91" s="7">
        <v>0.2</v>
      </c>
      <c r="F91" s="5" t="s">
        <v>120</v>
      </c>
      <c r="G91" s="2" t="s">
        <v>123</v>
      </c>
      <c r="H91" s="2" t="s">
        <v>11</v>
      </c>
      <c r="I91" s="2" t="s">
        <v>12</v>
      </c>
      <c r="J91" s="2" t="s">
        <v>25</v>
      </c>
      <c r="L91" s="3" t="s">
        <v>432</v>
      </c>
    </row>
    <row r="92" spans="1:12" x14ac:dyDescent="0.15">
      <c r="A92" s="2" t="s">
        <v>124</v>
      </c>
      <c r="B92" s="6">
        <v>585</v>
      </c>
      <c r="C92" s="6">
        <v>40</v>
      </c>
      <c r="D92" s="7">
        <v>2.17</v>
      </c>
      <c r="E92" s="7">
        <v>0.11</v>
      </c>
      <c r="F92" s="5" t="s">
        <v>120</v>
      </c>
      <c r="G92" s="2" t="s">
        <v>125</v>
      </c>
      <c r="H92" s="2" t="s">
        <v>11</v>
      </c>
      <c r="I92" s="2" t="s">
        <v>12</v>
      </c>
      <c r="J92" s="2" t="s">
        <v>13</v>
      </c>
      <c r="L92" s="2" t="s">
        <v>433</v>
      </c>
    </row>
    <row r="93" spans="1:12" x14ac:dyDescent="0.15">
      <c r="A93" s="2" t="s">
        <v>126</v>
      </c>
      <c r="B93" s="6">
        <v>370</v>
      </c>
      <c r="C93" s="6">
        <v>40</v>
      </c>
      <c r="D93" s="7">
        <v>0.9</v>
      </c>
      <c r="E93" s="7">
        <v>0.1</v>
      </c>
      <c r="F93" s="5" t="s">
        <v>120</v>
      </c>
      <c r="G93" s="2" t="s">
        <v>127</v>
      </c>
      <c r="H93" s="2" t="s">
        <v>11</v>
      </c>
      <c r="I93" s="2" t="s">
        <v>12</v>
      </c>
      <c r="J93" s="2" t="s">
        <v>17</v>
      </c>
      <c r="L93" s="2" t="s">
        <v>434</v>
      </c>
    </row>
    <row r="94" spans="1:12" ht="14" x14ac:dyDescent="0.15">
      <c r="A94" s="2" t="s">
        <v>128</v>
      </c>
      <c r="B94" s="6">
        <v>300</v>
      </c>
      <c r="C94" s="6">
        <v>40</v>
      </c>
      <c r="D94" s="7">
        <v>0.95</v>
      </c>
      <c r="E94" s="7">
        <v>0.15</v>
      </c>
      <c r="F94" s="5" t="s">
        <v>120</v>
      </c>
      <c r="G94" s="2" t="s">
        <v>127</v>
      </c>
      <c r="H94" s="2" t="s">
        <v>11</v>
      </c>
      <c r="I94" s="2" t="s">
        <v>12</v>
      </c>
      <c r="J94" s="2" t="s">
        <v>22</v>
      </c>
      <c r="L94" s="3" t="s">
        <v>435</v>
      </c>
    </row>
    <row r="95" spans="1:12" ht="14" x14ac:dyDescent="0.15">
      <c r="A95" s="2" t="s">
        <v>128</v>
      </c>
      <c r="B95" s="6">
        <v>315</v>
      </c>
      <c r="C95" s="6">
        <v>40</v>
      </c>
      <c r="D95" s="7">
        <v>1.1000000000000001</v>
      </c>
      <c r="E95" s="7">
        <v>0.2</v>
      </c>
      <c r="F95" s="5" t="s">
        <v>120</v>
      </c>
      <c r="G95" s="2" t="s">
        <v>127</v>
      </c>
      <c r="H95" s="2" t="s">
        <v>11</v>
      </c>
      <c r="I95" s="2" t="s">
        <v>12</v>
      </c>
      <c r="J95" s="2" t="s">
        <v>22</v>
      </c>
      <c r="L95" s="3" t="s">
        <v>435</v>
      </c>
    </row>
    <row r="96" spans="1:12" ht="14" x14ac:dyDescent="0.15">
      <c r="A96" s="2" t="s">
        <v>129</v>
      </c>
      <c r="B96" s="6">
        <v>250</v>
      </c>
      <c r="C96" s="6">
        <v>50</v>
      </c>
      <c r="D96" s="7">
        <v>0.7</v>
      </c>
      <c r="E96" s="7">
        <v>0.1</v>
      </c>
      <c r="F96" s="5" t="s">
        <v>120</v>
      </c>
      <c r="G96" s="2" t="s">
        <v>130</v>
      </c>
      <c r="H96" s="2" t="s">
        <v>28</v>
      </c>
      <c r="I96" s="2" t="s">
        <v>12</v>
      </c>
      <c r="L96" s="3" t="s">
        <v>436</v>
      </c>
    </row>
    <row r="97" spans="1:12" ht="14" x14ac:dyDescent="0.15">
      <c r="A97" s="2" t="s">
        <v>131</v>
      </c>
      <c r="B97" s="6">
        <v>540</v>
      </c>
      <c r="C97" s="6">
        <v>40</v>
      </c>
      <c r="D97" s="7">
        <v>1.9</v>
      </c>
      <c r="E97" s="7">
        <v>0.1</v>
      </c>
      <c r="F97" s="5" t="s">
        <v>120</v>
      </c>
      <c r="G97" s="2" t="s">
        <v>132</v>
      </c>
      <c r="H97" s="2" t="s">
        <v>11</v>
      </c>
      <c r="I97" s="2" t="s">
        <v>12</v>
      </c>
      <c r="J97" s="2" t="s">
        <v>22</v>
      </c>
      <c r="L97" s="3" t="s">
        <v>437</v>
      </c>
    </row>
    <row r="98" spans="1:12" x14ac:dyDescent="0.15">
      <c r="A98" s="2" t="s">
        <v>133</v>
      </c>
      <c r="B98" s="6">
        <v>520</v>
      </c>
      <c r="C98" s="6">
        <v>40</v>
      </c>
      <c r="D98" s="7">
        <v>1.9</v>
      </c>
      <c r="E98" s="7">
        <v>0.1</v>
      </c>
      <c r="F98" s="5" t="s">
        <v>120</v>
      </c>
      <c r="G98" s="2" t="s">
        <v>132</v>
      </c>
      <c r="H98" s="2" t="s">
        <v>11</v>
      </c>
      <c r="I98" s="2" t="s">
        <v>12</v>
      </c>
      <c r="J98" s="2" t="s">
        <v>17</v>
      </c>
      <c r="L98" s="2" t="s">
        <v>438</v>
      </c>
    </row>
    <row r="99" spans="1:12" x14ac:dyDescent="0.15">
      <c r="A99" s="2" t="s">
        <v>134</v>
      </c>
      <c r="B99" s="6">
        <v>480</v>
      </c>
      <c r="C99" s="6">
        <v>40</v>
      </c>
      <c r="D99" s="7">
        <v>1.91</v>
      </c>
      <c r="E99" s="7">
        <v>0.1</v>
      </c>
      <c r="F99" s="5" t="s">
        <v>120</v>
      </c>
      <c r="G99" s="2" t="s">
        <v>135</v>
      </c>
      <c r="H99" s="2" t="s">
        <v>11</v>
      </c>
      <c r="I99" s="2" t="s">
        <v>12</v>
      </c>
      <c r="J99" s="2" t="s">
        <v>136</v>
      </c>
      <c r="L99" s="2" t="s">
        <v>439</v>
      </c>
    </row>
    <row r="100" spans="1:12" x14ac:dyDescent="0.15">
      <c r="A100" s="2" t="s">
        <v>134</v>
      </c>
      <c r="B100" s="6">
        <v>530</v>
      </c>
      <c r="C100" s="6">
        <v>40</v>
      </c>
      <c r="D100" s="7">
        <v>2.0299999999999998</v>
      </c>
      <c r="E100" s="7">
        <v>0.1</v>
      </c>
      <c r="F100" s="5" t="s">
        <v>120</v>
      </c>
      <c r="G100" s="2" t="s">
        <v>135</v>
      </c>
      <c r="H100" s="2" t="s">
        <v>11</v>
      </c>
      <c r="I100" s="2" t="s">
        <v>12</v>
      </c>
      <c r="J100" s="2" t="s">
        <v>136</v>
      </c>
      <c r="L100" s="2" t="s">
        <v>439</v>
      </c>
    </row>
    <row r="101" spans="1:12" ht="14" x14ac:dyDescent="0.15">
      <c r="A101" s="2" t="s">
        <v>137</v>
      </c>
      <c r="B101" s="6">
        <v>550</v>
      </c>
      <c r="C101" s="6">
        <v>40</v>
      </c>
      <c r="D101" s="7">
        <v>2.19</v>
      </c>
      <c r="E101" s="7">
        <v>0.1</v>
      </c>
      <c r="F101" s="5" t="s">
        <v>120</v>
      </c>
      <c r="G101" s="2" t="s">
        <v>135</v>
      </c>
      <c r="H101" s="2" t="s">
        <v>11</v>
      </c>
      <c r="I101" s="2" t="s">
        <v>12</v>
      </c>
      <c r="J101" s="2" t="s">
        <v>17</v>
      </c>
      <c r="L101" s="3" t="s">
        <v>440</v>
      </c>
    </row>
    <row r="102" spans="1:12" x14ac:dyDescent="0.15">
      <c r="A102" s="2" t="s">
        <v>137</v>
      </c>
      <c r="B102" s="6">
        <v>490</v>
      </c>
      <c r="C102" s="6">
        <v>40</v>
      </c>
      <c r="D102" s="7">
        <v>2.06</v>
      </c>
      <c r="E102" s="7">
        <v>0.1</v>
      </c>
      <c r="F102" s="5" t="s">
        <v>120</v>
      </c>
      <c r="G102" s="2" t="s">
        <v>135</v>
      </c>
      <c r="H102" s="2" t="s">
        <v>11</v>
      </c>
      <c r="I102" s="2" t="s">
        <v>12</v>
      </c>
      <c r="J102" s="2" t="s">
        <v>17</v>
      </c>
      <c r="L102" s="2" t="s">
        <v>440</v>
      </c>
    </row>
    <row r="103" spans="1:12" ht="14" x14ac:dyDescent="0.15">
      <c r="A103" s="2" t="s">
        <v>138</v>
      </c>
      <c r="B103" s="6">
        <v>460</v>
      </c>
      <c r="C103" s="6">
        <v>40</v>
      </c>
      <c r="D103" s="7">
        <v>1.95</v>
      </c>
      <c r="E103" s="7">
        <v>0.1</v>
      </c>
      <c r="F103" s="5" t="s">
        <v>120</v>
      </c>
      <c r="G103" s="2" t="s">
        <v>135</v>
      </c>
      <c r="H103" s="2" t="s">
        <v>11</v>
      </c>
      <c r="I103" s="2" t="s">
        <v>12</v>
      </c>
      <c r="J103" s="2" t="s">
        <v>17</v>
      </c>
      <c r="L103" s="3" t="s">
        <v>441</v>
      </c>
    </row>
    <row r="104" spans="1:12" x14ac:dyDescent="0.15">
      <c r="A104" s="2" t="s">
        <v>138</v>
      </c>
      <c r="B104" s="6">
        <v>560</v>
      </c>
      <c r="C104" s="6">
        <v>40</v>
      </c>
      <c r="D104" s="7">
        <v>2.2000000000000002</v>
      </c>
      <c r="E104" s="7">
        <v>0.1</v>
      </c>
      <c r="F104" s="5" t="s">
        <v>120</v>
      </c>
      <c r="G104" s="2" t="s">
        <v>135</v>
      </c>
      <c r="H104" s="2" t="s">
        <v>11</v>
      </c>
      <c r="I104" s="2" t="s">
        <v>12</v>
      </c>
      <c r="J104" s="2" t="s">
        <v>17</v>
      </c>
      <c r="L104" s="2" t="s">
        <v>441</v>
      </c>
    </row>
    <row r="105" spans="1:12" x14ac:dyDescent="0.15">
      <c r="A105" s="2" t="s">
        <v>139</v>
      </c>
      <c r="B105" s="6">
        <v>475</v>
      </c>
      <c r="C105" s="6">
        <v>40</v>
      </c>
      <c r="D105" s="7">
        <v>2.1</v>
      </c>
      <c r="E105" s="7">
        <v>0.2</v>
      </c>
      <c r="F105" s="5" t="s">
        <v>120</v>
      </c>
      <c r="G105" s="2" t="s">
        <v>135</v>
      </c>
      <c r="H105" s="2" t="s">
        <v>11</v>
      </c>
      <c r="I105" s="2" t="s">
        <v>12</v>
      </c>
      <c r="J105" s="2" t="s">
        <v>17</v>
      </c>
      <c r="L105" s="2" t="s">
        <v>442</v>
      </c>
    </row>
    <row r="106" spans="1:12" x14ac:dyDescent="0.15">
      <c r="A106" s="2" t="s">
        <v>139</v>
      </c>
      <c r="B106" s="6">
        <v>550</v>
      </c>
      <c r="C106" s="6">
        <v>40</v>
      </c>
      <c r="D106" s="7">
        <v>2.15</v>
      </c>
      <c r="E106" s="7">
        <v>0.1</v>
      </c>
      <c r="F106" s="5" t="s">
        <v>120</v>
      </c>
      <c r="G106" s="2" t="s">
        <v>135</v>
      </c>
      <c r="H106" s="2" t="s">
        <v>11</v>
      </c>
      <c r="I106" s="2" t="s">
        <v>12</v>
      </c>
      <c r="J106" s="2" t="s">
        <v>17</v>
      </c>
      <c r="L106" s="2" t="s">
        <v>442</v>
      </c>
    </row>
    <row r="107" spans="1:12" ht="14" x14ac:dyDescent="0.15">
      <c r="A107" s="2" t="s">
        <v>140</v>
      </c>
      <c r="B107" s="6">
        <v>470</v>
      </c>
      <c r="C107" s="6">
        <v>40</v>
      </c>
      <c r="D107" s="7">
        <v>1.3</v>
      </c>
      <c r="E107" s="7">
        <v>0.2</v>
      </c>
      <c r="F107" s="5" t="s">
        <v>120</v>
      </c>
      <c r="G107" s="2" t="s">
        <v>135</v>
      </c>
      <c r="H107" s="2" t="s">
        <v>11</v>
      </c>
      <c r="I107" s="2" t="s">
        <v>12</v>
      </c>
      <c r="J107" s="2" t="s">
        <v>22</v>
      </c>
      <c r="L107" s="3" t="s">
        <v>443</v>
      </c>
    </row>
    <row r="108" spans="1:12" x14ac:dyDescent="0.15">
      <c r="A108" s="2" t="s">
        <v>141</v>
      </c>
      <c r="B108" s="6">
        <v>575</v>
      </c>
      <c r="C108" s="6">
        <v>40</v>
      </c>
      <c r="D108" s="7">
        <v>1.9</v>
      </c>
      <c r="E108" s="7">
        <v>0.1</v>
      </c>
      <c r="F108" s="5" t="s">
        <v>120</v>
      </c>
      <c r="G108" s="2" t="s">
        <v>135</v>
      </c>
      <c r="H108" s="2" t="s">
        <v>11</v>
      </c>
      <c r="I108" s="2" t="s">
        <v>12</v>
      </c>
      <c r="J108" s="2" t="s">
        <v>25</v>
      </c>
      <c r="L108" s="2" t="s">
        <v>444</v>
      </c>
    </row>
    <row r="109" spans="1:12" x14ac:dyDescent="0.15">
      <c r="A109" s="2" t="s">
        <v>142</v>
      </c>
      <c r="B109" s="6">
        <v>475</v>
      </c>
      <c r="C109" s="6">
        <v>40</v>
      </c>
      <c r="D109" s="7">
        <v>1.5</v>
      </c>
      <c r="E109" s="7">
        <v>0.2</v>
      </c>
      <c r="F109" s="5" t="s">
        <v>120</v>
      </c>
      <c r="G109" s="2" t="s">
        <v>135</v>
      </c>
      <c r="H109" s="2" t="s">
        <v>11</v>
      </c>
      <c r="I109" s="2" t="s">
        <v>12</v>
      </c>
      <c r="J109" s="2" t="s">
        <v>143</v>
      </c>
      <c r="L109" s="2" t="s">
        <v>445</v>
      </c>
    </row>
    <row r="110" spans="1:12" x14ac:dyDescent="0.15">
      <c r="A110" s="2" t="s">
        <v>144</v>
      </c>
      <c r="B110" s="6">
        <v>550</v>
      </c>
      <c r="C110" s="6">
        <v>40</v>
      </c>
      <c r="D110" s="7">
        <v>1.8</v>
      </c>
      <c r="E110" s="7">
        <v>0.2</v>
      </c>
      <c r="F110" s="5" t="s">
        <v>120</v>
      </c>
      <c r="G110" s="2" t="s">
        <v>135</v>
      </c>
      <c r="H110" s="2" t="s">
        <v>11</v>
      </c>
      <c r="I110" s="2" t="s">
        <v>12</v>
      </c>
      <c r="J110" s="2" t="s">
        <v>22</v>
      </c>
      <c r="L110" s="2" t="s">
        <v>446</v>
      </c>
    </row>
    <row r="111" spans="1:12" x14ac:dyDescent="0.15">
      <c r="A111" s="2" t="s">
        <v>145</v>
      </c>
      <c r="B111" s="6">
        <v>475</v>
      </c>
      <c r="C111" s="6">
        <v>40</v>
      </c>
      <c r="D111" s="7">
        <v>1.6</v>
      </c>
      <c r="E111" s="7">
        <v>0.4</v>
      </c>
      <c r="F111" s="5" t="s">
        <v>120</v>
      </c>
      <c r="G111" s="2" t="s">
        <v>146</v>
      </c>
      <c r="H111" s="2" t="s">
        <v>11</v>
      </c>
      <c r="I111" s="2" t="s">
        <v>12</v>
      </c>
      <c r="L111" s="2" t="s">
        <v>447</v>
      </c>
    </row>
    <row r="112" spans="1:12" ht="14" x14ac:dyDescent="0.15">
      <c r="A112" s="2" t="s">
        <v>140</v>
      </c>
      <c r="B112" s="6">
        <v>450</v>
      </c>
      <c r="C112" s="6">
        <v>40</v>
      </c>
      <c r="D112" s="7">
        <v>1.3</v>
      </c>
      <c r="E112" s="7">
        <v>0.2</v>
      </c>
      <c r="F112" s="5" t="s">
        <v>120</v>
      </c>
      <c r="G112" s="2" t="s">
        <v>146</v>
      </c>
      <c r="H112" s="2" t="s">
        <v>11</v>
      </c>
      <c r="I112" s="2" t="s">
        <v>12</v>
      </c>
      <c r="J112" s="2" t="s">
        <v>22</v>
      </c>
      <c r="L112" s="3" t="s">
        <v>443</v>
      </c>
    </row>
    <row r="113" spans="1:12" x14ac:dyDescent="0.15">
      <c r="A113" s="2" t="s">
        <v>147</v>
      </c>
      <c r="B113" s="6">
        <v>490</v>
      </c>
      <c r="C113" s="6">
        <v>40</v>
      </c>
      <c r="D113" s="7">
        <v>1.55</v>
      </c>
      <c r="E113" s="7">
        <v>0.5</v>
      </c>
      <c r="F113" s="5" t="s">
        <v>120</v>
      </c>
      <c r="G113" s="2" t="s">
        <v>146</v>
      </c>
      <c r="H113" s="2" t="s">
        <v>11</v>
      </c>
      <c r="I113" s="2" t="s">
        <v>12</v>
      </c>
      <c r="L113" s="2" t="s">
        <v>448</v>
      </c>
    </row>
    <row r="114" spans="1:12" x14ac:dyDescent="0.15">
      <c r="A114" s="2" t="s">
        <v>148</v>
      </c>
      <c r="B114" s="6">
        <v>560</v>
      </c>
      <c r="C114" s="6">
        <v>40</v>
      </c>
      <c r="D114" s="7">
        <v>2.2000000000000002</v>
      </c>
      <c r="E114" s="7">
        <v>0.25</v>
      </c>
      <c r="F114" s="5" t="s">
        <v>120</v>
      </c>
      <c r="G114" s="2" t="s">
        <v>146</v>
      </c>
      <c r="H114" s="2" t="s">
        <v>11</v>
      </c>
      <c r="I114" s="2" t="s">
        <v>12</v>
      </c>
      <c r="J114" s="2" t="s">
        <v>143</v>
      </c>
      <c r="L114" s="2" t="s">
        <v>449</v>
      </c>
    </row>
    <row r="115" spans="1:12" x14ac:dyDescent="0.15">
      <c r="A115" s="2" t="s">
        <v>144</v>
      </c>
      <c r="B115" s="6">
        <v>500</v>
      </c>
      <c r="C115" s="6">
        <v>40</v>
      </c>
      <c r="D115" s="7">
        <v>1.6</v>
      </c>
      <c r="E115" s="7">
        <v>0.35</v>
      </c>
      <c r="F115" s="5" t="s">
        <v>120</v>
      </c>
      <c r="G115" s="2" t="s">
        <v>146</v>
      </c>
      <c r="H115" s="2" t="s">
        <v>11</v>
      </c>
      <c r="I115" s="2" t="s">
        <v>12</v>
      </c>
      <c r="J115" s="2" t="s">
        <v>22</v>
      </c>
      <c r="L115" s="2" t="s">
        <v>446</v>
      </c>
    </row>
    <row r="116" spans="1:12" x14ac:dyDescent="0.15">
      <c r="A116" s="2" t="s">
        <v>149</v>
      </c>
      <c r="B116" s="6">
        <v>500</v>
      </c>
      <c r="C116" s="6">
        <v>50</v>
      </c>
      <c r="D116" s="7">
        <v>1.4</v>
      </c>
      <c r="E116" s="7">
        <v>0.15</v>
      </c>
      <c r="F116" s="5" t="s">
        <v>120</v>
      </c>
      <c r="G116" s="2" t="s">
        <v>146</v>
      </c>
      <c r="H116" s="2" t="s">
        <v>11</v>
      </c>
      <c r="I116" s="2" t="s">
        <v>12</v>
      </c>
      <c r="J116" s="2" t="s">
        <v>136</v>
      </c>
      <c r="L116" s="2" t="s">
        <v>450</v>
      </c>
    </row>
    <row r="117" spans="1:12" x14ac:dyDescent="0.15">
      <c r="A117" s="2" t="s">
        <v>150</v>
      </c>
      <c r="B117" s="5">
        <v>400</v>
      </c>
      <c r="C117" s="5">
        <v>50</v>
      </c>
      <c r="D117" s="5">
        <v>2.25</v>
      </c>
      <c r="E117" s="5">
        <v>0.25</v>
      </c>
      <c r="F117" s="5" t="s">
        <v>151</v>
      </c>
      <c r="G117" s="2" t="s">
        <v>152</v>
      </c>
      <c r="H117" s="2" t="s">
        <v>83</v>
      </c>
      <c r="I117" s="2" t="s">
        <v>48</v>
      </c>
      <c r="J117" s="2" t="s">
        <v>25</v>
      </c>
      <c r="L117" s="2" t="s">
        <v>451</v>
      </c>
    </row>
    <row r="118" spans="1:12" x14ac:dyDescent="0.15">
      <c r="A118" s="2" t="s">
        <v>153</v>
      </c>
      <c r="B118" s="5">
        <v>705</v>
      </c>
      <c r="C118" s="5">
        <v>45</v>
      </c>
      <c r="D118" s="5">
        <v>2.25</v>
      </c>
      <c r="E118" s="5">
        <v>0.125</v>
      </c>
      <c r="F118" s="5" t="s">
        <v>151</v>
      </c>
      <c r="G118" s="2" t="s">
        <v>154</v>
      </c>
      <c r="H118" s="2" t="s">
        <v>83</v>
      </c>
      <c r="I118" s="2" t="s">
        <v>12</v>
      </c>
      <c r="J118" s="2" t="s">
        <v>22</v>
      </c>
      <c r="L118" s="2" t="s">
        <v>452</v>
      </c>
    </row>
    <row r="119" spans="1:12" x14ac:dyDescent="0.15">
      <c r="A119" s="2" t="s">
        <v>155</v>
      </c>
      <c r="B119" s="6">
        <v>655</v>
      </c>
      <c r="C119" s="6">
        <v>40</v>
      </c>
      <c r="D119" s="7">
        <v>2.4</v>
      </c>
      <c r="E119" s="7">
        <v>0.1</v>
      </c>
      <c r="F119" s="5" t="s">
        <v>151</v>
      </c>
      <c r="G119" s="2" t="s">
        <v>156</v>
      </c>
      <c r="H119" s="2" t="s">
        <v>83</v>
      </c>
      <c r="I119" s="2" t="s">
        <v>12</v>
      </c>
      <c r="J119" s="2" t="s">
        <v>554</v>
      </c>
      <c r="L119" s="2" t="s">
        <v>453</v>
      </c>
    </row>
    <row r="120" spans="1:12" x14ac:dyDescent="0.15">
      <c r="A120" s="2" t="s">
        <v>150</v>
      </c>
      <c r="B120" s="5">
        <v>350</v>
      </c>
      <c r="C120" s="5">
        <v>50</v>
      </c>
      <c r="D120" s="5">
        <v>1.2</v>
      </c>
      <c r="E120" s="5">
        <v>0.2</v>
      </c>
      <c r="F120" s="5" t="s">
        <v>151</v>
      </c>
      <c r="G120" s="2" t="s">
        <v>157</v>
      </c>
      <c r="H120" s="2" t="s">
        <v>83</v>
      </c>
      <c r="I120" s="2" t="s">
        <v>48</v>
      </c>
      <c r="J120" s="2" t="s">
        <v>25</v>
      </c>
      <c r="L120" s="2" t="s">
        <v>451</v>
      </c>
    </row>
    <row r="121" spans="1:12" x14ac:dyDescent="0.15">
      <c r="A121" s="2" t="s">
        <v>150</v>
      </c>
      <c r="B121" s="5">
        <v>250</v>
      </c>
      <c r="C121" s="5">
        <v>50</v>
      </c>
      <c r="D121" s="5">
        <v>0.75</v>
      </c>
      <c r="E121" s="5">
        <v>0.15</v>
      </c>
      <c r="F121" s="5" t="s">
        <v>151</v>
      </c>
      <c r="G121" s="2" t="s">
        <v>158</v>
      </c>
      <c r="H121" s="2" t="s">
        <v>83</v>
      </c>
      <c r="I121" s="2" t="s">
        <v>48</v>
      </c>
      <c r="J121" s="2" t="s">
        <v>25</v>
      </c>
      <c r="L121" s="2" t="s">
        <v>451</v>
      </c>
    </row>
    <row r="122" spans="1:12" ht="14" x14ac:dyDescent="0.15">
      <c r="A122" s="2" t="s">
        <v>159</v>
      </c>
      <c r="B122" s="5">
        <v>520</v>
      </c>
      <c r="C122" s="5">
        <v>40</v>
      </c>
      <c r="D122" s="5">
        <v>2.5</v>
      </c>
      <c r="E122" s="5">
        <v>0.5</v>
      </c>
      <c r="F122" s="5" t="s">
        <v>151</v>
      </c>
      <c r="G122" s="2" t="s">
        <v>160</v>
      </c>
      <c r="H122" s="2" t="s">
        <v>83</v>
      </c>
      <c r="I122" s="2" t="s">
        <v>48</v>
      </c>
      <c r="J122" s="2" t="s">
        <v>17</v>
      </c>
      <c r="L122" s="3" t="s">
        <v>454</v>
      </c>
    </row>
    <row r="123" spans="1:12" x14ac:dyDescent="0.15">
      <c r="A123" s="2" t="s">
        <v>161</v>
      </c>
      <c r="B123" s="5">
        <f>(263-206)/2+206</f>
        <v>234.5</v>
      </c>
      <c r="C123" s="5">
        <v>65</v>
      </c>
      <c r="D123" s="5">
        <v>1.125</v>
      </c>
      <c r="E123" s="5">
        <v>0.25</v>
      </c>
      <c r="F123" s="5" t="s">
        <v>151</v>
      </c>
      <c r="G123" s="2" t="s">
        <v>160</v>
      </c>
      <c r="H123" s="2" t="s">
        <v>83</v>
      </c>
      <c r="I123" s="2" t="s">
        <v>162</v>
      </c>
      <c r="J123" s="2" t="s">
        <v>13</v>
      </c>
      <c r="L123" s="2" t="s">
        <v>455</v>
      </c>
    </row>
    <row r="124" spans="1:12" x14ac:dyDescent="0.15">
      <c r="A124" s="2" t="s">
        <v>163</v>
      </c>
      <c r="B124" s="5">
        <v>450</v>
      </c>
      <c r="C124" s="5">
        <v>40</v>
      </c>
      <c r="D124" s="5">
        <v>2.1</v>
      </c>
      <c r="E124" s="5">
        <v>0.3</v>
      </c>
      <c r="F124" s="5" t="s">
        <v>151</v>
      </c>
      <c r="G124" s="2" t="s">
        <v>160</v>
      </c>
      <c r="H124" s="2" t="s">
        <v>83</v>
      </c>
      <c r="I124" s="2" t="s">
        <v>48</v>
      </c>
      <c r="J124" s="2" t="s">
        <v>265</v>
      </c>
      <c r="L124" s="2" t="s">
        <v>456</v>
      </c>
    </row>
    <row r="125" spans="1:12" x14ac:dyDescent="0.15">
      <c r="A125" s="2" t="s">
        <v>150</v>
      </c>
      <c r="B125" s="5">
        <v>350</v>
      </c>
      <c r="C125" s="5">
        <v>50</v>
      </c>
      <c r="D125" s="5">
        <v>0.9</v>
      </c>
      <c r="E125" s="5">
        <v>0.3</v>
      </c>
      <c r="F125" s="5" t="s">
        <v>151</v>
      </c>
      <c r="G125" s="2" t="s">
        <v>164</v>
      </c>
      <c r="H125" s="2" t="s">
        <v>83</v>
      </c>
      <c r="I125" s="2" t="s">
        <v>48</v>
      </c>
      <c r="J125" s="2" t="s">
        <v>13</v>
      </c>
      <c r="L125" s="2" t="s">
        <v>451</v>
      </c>
    </row>
    <row r="126" spans="1:12" ht="14" x14ac:dyDescent="0.15">
      <c r="A126" s="2" t="s">
        <v>165</v>
      </c>
      <c r="B126" s="6">
        <v>340</v>
      </c>
      <c r="C126" s="6">
        <v>50</v>
      </c>
      <c r="D126" s="7">
        <v>1.1499999999999999</v>
      </c>
      <c r="E126" s="7">
        <v>0.1</v>
      </c>
      <c r="F126" s="5" t="s">
        <v>166</v>
      </c>
      <c r="G126" s="2" t="s">
        <v>167</v>
      </c>
      <c r="H126" s="2" t="s">
        <v>11</v>
      </c>
      <c r="I126" s="2" t="s">
        <v>12</v>
      </c>
      <c r="J126" s="2" t="s">
        <v>17</v>
      </c>
      <c r="L126" s="3" t="s">
        <v>457</v>
      </c>
    </row>
    <row r="127" spans="1:12" x14ac:dyDescent="0.15">
      <c r="A127" s="2" t="s">
        <v>165</v>
      </c>
      <c r="B127" s="6">
        <v>325</v>
      </c>
      <c r="C127" s="6">
        <v>50</v>
      </c>
      <c r="D127" s="7">
        <v>1</v>
      </c>
      <c r="E127" s="7">
        <v>0.1</v>
      </c>
      <c r="F127" s="5" t="s">
        <v>166</v>
      </c>
      <c r="G127" s="2" t="s">
        <v>167</v>
      </c>
      <c r="H127" s="2" t="s">
        <v>11</v>
      </c>
      <c r="I127" s="2" t="s">
        <v>12</v>
      </c>
      <c r="J127" s="2" t="s">
        <v>17</v>
      </c>
      <c r="L127" s="2" t="s">
        <v>457</v>
      </c>
    </row>
    <row r="128" spans="1:12" ht="14" x14ac:dyDescent="0.15">
      <c r="A128" s="2" t="s">
        <v>168</v>
      </c>
      <c r="B128" s="6">
        <v>600</v>
      </c>
      <c r="C128" s="6">
        <v>40</v>
      </c>
      <c r="D128" s="7">
        <v>2.1</v>
      </c>
      <c r="E128" s="7">
        <v>0.3</v>
      </c>
      <c r="F128" s="5" t="s">
        <v>169</v>
      </c>
      <c r="G128" s="2" t="s">
        <v>170</v>
      </c>
      <c r="H128" s="2" t="s">
        <v>11</v>
      </c>
      <c r="I128" s="2" t="s">
        <v>48</v>
      </c>
      <c r="J128" s="2" t="s">
        <v>25</v>
      </c>
      <c r="L128" s="3" t="s">
        <v>458</v>
      </c>
    </row>
    <row r="129" spans="1:12" x14ac:dyDescent="0.15">
      <c r="A129" s="2" t="s">
        <v>171</v>
      </c>
      <c r="B129" s="6">
        <v>350</v>
      </c>
      <c r="C129" s="6">
        <v>50</v>
      </c>
      <c r="D129" s="7">
        <v>0.9</v>
      </c>
      <c r="E129" s="7">
        <v>0.2</v>
      </c>
      <c r="F129" s="5" t="s">
        <v>172</v>
      </c>
      <c r="G129" s="2" t="s">
        <v>173</v>
      </c>
      <c r="H129" s="2" t="s">
        <v>11</v>
      </c>
      <c r="I129" s="2" t="s">
        <v>12</v>
      </c>
      <c r="J129" s="2" t="s">
        <v>25</v>
      </c>
      <c r="L129" s="2" t="s">
        <v>459</v>
      </c>
    </row>
    <row r="130" spans="1:12" x14ac:dyDescent="0.15">
      <c r="A130" s="2" t="s">
        <v>174</v>
      </c>
      <c r="B130" s="6">
        <v>375</v>
      </c>
      <c r="C130" s="6">
        <v>75</v>
      </c>
      <c r="D130" s="7">
        <v>0.65</v>
      </c>
      <c r="E130" s="7">
        <v>0.25</v>
      </c>
      <c r="F130" s="5" t="s">
        <v>172</v>
      </c>
      <c r="G130" s="2" t="s">
        <v>173</v>
      </c>
      <c r="H130" s="2" t="s">
        <v>11</v>
      </c>
      <c r="I130" s="2" t="s">
        <v>12</v>
      </c>
      <c r="J130" s="2" t="s">
        <v>25</v>
      </c>
      <c r="L130" s="2" t="s">
        <v>460</v>
      </c>
    </row>
    <row r="131" spans="1:12" x14ac:dyDescent="0.15">
      <c r="A131" s="2" t="s">
        <v>175</v>
      </c>
      <c r="B131" s="6">
        <v>496</v>
      </c>
      <c r="C131" s="6">
        <v>45</v>
      </c>
      <c r="D131" s="7">
        <v>2</v>
      </c>
      <c r="E131" s="7">
        <v>0.4</v>
      </c>
      <c r="F131" s="5" t="s">
        <v>172</v>
      </c>
      <c r="G131" s="2" t="s">
        <v>176</v>
      </c>
      <c r="H131" s="2" t="s">
        <v>11</v>
      </c>
      <c r="I131" s="2" t="s">
        <v>177</v>
      </c>
      <c r="J131" s="2" t="s">
        <v>13</v>
      </c>
      <c r="L131" s="2" t="s">
        <v>461</v>
      </c>
    </row>
    <row r="132" spans="1:12" x14ac:dyDescent="0.15">
      <c r="A132" s="2" t="s">
        <v>178</v>
      </c>
      <c r="B132" s="6">
        <v>455</v>
      </c>
      <c r="C132" s="6">
        <v>55</v>
      </c>
      <c r="D132" s="7">
        <v>1.325</v>
      </c>
      <c r="E132" s="7">
        <v>0.17499999999999999</v>
      </c>
      <c r="F132" s="5" t="s">
        <v>172</v>
      </c>
      <c r="G132" s="2" t="s">
        <v>179</v>
      </c>
      <c r="H132" s="2" t="s">
        <v>11</v>
      </c>
      <c r="I132" s="2" t="s">
        <v>12</v>
      </c>
      <c r="J132" s="2" t="s">
        <v>17</v>
      </c>
      <c r="L132" s="2" t="s">
        <v>462</v>
      </c>
    </row>
    <row r="133" spans="1:12" ht="14" x14ac:dyDescent="0.15">
      <c r="A133" s="2" t="s">
        <v>180</v>
      </c>
      <c r="B133" s="6">
        <v>495</v>
      </c>
      <c r="C133" s="6">
        <v>40</v>
      </c>
      <c r="D133" s="7">
        <v>2.25</v>
      </c>
      <c r="E133" s="7">
        <v>0.1</v>
      </c>
      <c r="F133" s="5" t="s">
        <v>172</v>
      </c>
      <c r="G133" s="2" t="s">
        <v>181</v>
      </c>
      <c r="H133" s="2" t="s">
        <v>11</v>
      </c>
      <c r="I133" s="2" t="s">
        <v>12</v>
      </c>
      <c r="J133" s="2" t="s">
        <v>13</v>
      </c>
      <c r="L133" s="3" t="s">
        <v>463</v>
      </c>
    </row>
    <row r="134" spans="1:12" x14ac:dyDescent="0.15">
      <c r="A134" s="2" t="s">
        <v>180</v>
      </c>
      <c r="B134" s="6">
        <v>596</v>
      </c>
      <c r="C134" s="6">
        <v>40</v>
      </c>
      <c r="D134" s="7">
        <v>2.0099999999999998</v>
      </c>
      <c r="E134" s="7">
        <v>0.11</v>
      </c>
      <c r="F134" s="5" t="s">
        <v>172</v>
      </c>
      <c r="G134" s="2" t="s">
        <v>181</v>
      </c>
      <c r="H134" s="2" t="s">
        <v>11</v>
      </c>
      <c r="I134" s="2" t="s">
        <v>12</v>
      </c>
      <c r="J134" s="2" t="s">
        <v>22</v>
      </c>
      <c r="L134" s="2" t="s">
        <v>463</v>
      </c>
    </row>
    <row r="135" spans="1:12" x14ac:dyDescent="0.15">
      <c r="A135" s="2" t="s">
        <v>182</v>
      </c>
      <c r="B135" s="6">
        <v>600</v>
      </c>
      <c r="C135" s="6">
        <v>50</v>
      </c>
      <c r="D135" s="7">
        <v>1.75</v>
      </c>
      <c r="E135" s="7">
        <v>0.25</v>
      </c>
      <c r="F135" s="5" t="s">
        <v>172</v>
      </c>
      <c r="G135" s="2" t="s">
        <v>183</v>
      </c>
      <c r="H135" s="2" t="s">
        <v>11</v>
      </c>
      <c r="I135" s="2" t="s">
        <v>48</v>
      </c>
      <c r="J135" s="2" t="s">
        <v>17</v>
      </c>
      <c r="L135" s="2" t="s">
        <v>464</v>
      </c>
    </row>
    <row r="136" spans="1:12" x14ac:dyDescent="0.15">
      <c r="A136" s="2" t="s">
        <v>184</v>
      </c>
      <c r="B136" s="6">
        <v>420</v>
      </c>
      <c r="C136" s="6">
        <v>40</v>
      </c>
      <c r="D136" s="7">
        <v>1.6</v>
      </c>
      <c r="E136" s="7">
        <v>0.15</v>
      </c>
      <c r="F136" s="5" t="s">
        <v>172</v>
      </c>
      <c r="G136" s="2" t="s">
        <v>185</v>
      </c>
      <c r="H136" s="2" t="s">
        <v>11</v>
      </c>
      <c r="I136" s="2" t="s">
        <v>48</v>
      </c>
      <c r="J136" s="2" t="s">
        <v>17</v>
      </c>
      <c r="L136" s="2" t="s">
        <v>465</v>
      </c>
    </row>
    <row r="137" spans="1:12" x14ac:dyDescent="0.15">
      <c r="A137" s="2" t="s">
        <v>175</v>
      </c>
      <c r="B137" s="6">
        <v>568</v>
      </c>
      <c r="C137" s="6">
        <v>45</v>
      </c>
      <c r="D137" s="7">
        <v>2.23</v>
      </c>
      <c r="E137" s="7">
        <v>0.27</v>
      </c>
      <c r="F137" s="5" t="s">
        <v>172</v>
      </c>
      <c r="G137" s="2" t="s">
        <v>186</v>
      </c>
      <c r="H137" s="2" t="s">
        <v>11</v>
      </c>
      <c r="I137" s="2" t="s">
        <v>177</v>
      </c>
      <c r="J137" s="2" t="s">
        <v>13</v>
      </c>
      <c r="L137" s="2" t="s">
        <v>461</v>
      </c>
    </row>
    <row r="138" spans="1:12" x14ac:dyDescent="0.15">
      <c r="A138" s="2" t="s">
        <v>175</v>
      </c>
      <c r="B138" s="6">
        <v>615</v>
      </c>
      <c r="C138" s="6">
        <v>42</v>
      </c>
      <c r="D138" s="7">
        <v>1.95</v>
      </c>
      <c r="E138" s="7">
        <v>0.24</v>
      </c>
      <c r="F138" s="5" t="s">
        <v>172</v>
      </c>
      <c r="G138" s="2" t="s">
        <v>186</v>
      </c>
      <c r="H138" s="2" t="s">
        <v>11</v>
      </c>
      <c r="I138" s="2" t="s">
        <v>177</v>
      </c>
      <c r="J138" s="2" t="s">
        <v>13</v>
      </c>
      <c r="L138" s="2" t="s">
        <v>461</v>
      </c>
    </row>
    <row r="139" spans="1:12" x14ac:dyDescent="0.15">
      <c r="A139" s="2" t="s">
        <v>187</v>
      </c>
      <c r="B139" s="6">
        <v>523</v>
      </c>
      <c r="C139" s="6">
        <v>40</v>
      </c>
      <c r="D139" s="7">
        <v>1</v>
      </c>
      <c r="E139" s="7">
        <v>0.11</v>
      </c>
      <c r="F139" s="5" t="s">
        <v>172</v>
      </c>
      <c r="G139" s="2" t="s">
        <v>188</v>
      </c>
      <c r="H139" s="2" t="s">
        <v>11</v>
      </c>
      <c r="I139" s="2" t="s">
        <v>12</v>
      </c>
      <c r="J139" s="2" t="s">
        <v>13</v>
      </c>
      <c r="L139" s="2" t="s">
        <v>466</v>
      </c>
    </row>
    <row r="140" spans="1:12" x14ac:dyDescent="0.15">
      <c r="A140" s="2" t="s">
        <v>187</v>
      </c>
      <c r="B140" s="6">
        <v>529</v>
      </c>
      <c r="C140" s="6">
        <v>40</v>
      </c>
      <c r="D140" s="7">
        <v>1.2</v>
      </c>
      <c r="E140" s="7">
        <v>0.17</v>
      </c>
      <c r="F140" s="5" t="s">
        <v>172</v>
      </c>
      <c r="G140" s="2" t="s">
        <v>188</v>
      </c>
      <c r="H140" s="2" t="s">
        <v>11</v>
      </c>
      <c r="I140" s="2" t="s">
        <v>12</v>
      </c>
      <c r="J140" s="2" t="s">
        <v>13</v>
      </c>
      <c r="L140" s="2" t="s">
        <v>466</v>
      </c>
    </row>
    <row r="141" spans="1:12" x14ac:dyDescent="0.15">
      <c r="A141" s="2" t="s">
        <v>187</v>
      </c>
      <c r="B141" s="6">
        <v>565</v>
      </c>
      <c r="C141" s="6">
        <v>40</v>
      </c>
      <c r="D141" s="7">
        <v>1.2</v>
      </c>
      <c r="E141" s="7">
        <v>0.9</v>
      </c>
      <c r="F141" s="5" t="s">
        <v>172</v>
      </c>
      <c r="G141" s="2" t="s">
        <v>188</v>
      </c>
      <c r="H141" s="2" t="s">
        <v>11</v>
      </c>
      <c r="I141" s="2" t="s">
        <v>12</v>
      </c>
      <c r="J141" s="2" t="s">
        <v>13</v>
      </c>
      <c r="L141" s="2" t="s">
        <v>466</v>
      </c>
    </row>
    <row r="142" spans="1:12" x14ac:dyDescent="0.15">
      <c r="A142" s="2" t="s">
        <v>187</v>
      </c>
      <c r="B142" s="6">
        <v>483</v>
      </c>
      <c r="C142" s="6">
        <v>40</v>
      </c>
      <c r="D142" s="7">
        <v>0.95</v>
      </c>
      <c r="E142" s="7">
        <v>0.27</v>
      </c>
      <c r="F142" s="5" t="s">
        <v>172</v>
      </c>
      <c r="G142" s="2" t="s">
        <v>188</v>
      </c>
      <c r="H142" s="2" t="s">
        <v>11</v>
      </c>
      <c r="I142" s="2" t="s">
        <v>48</v>
      </c>
      <c r="J142" s="2" t="s">
        <v>13</v>
      </c>
      <c r="L142" s="2" t="s">
        <v>466</v>
      </c>
    </row>
    <row r="143" spans="1:12" x14ac:dyDescent="0.15">
      <c r="A143" s="2" t="s">
        <v>187</v>
      </c>
      <c r="B143" s="6">
        <v>479</v>
      </c>
      <c r="C143" s="6">
        <v>43</v>
      </c>
      <c r="D143" s="7">
        <v>0.69</v>
      </c>
      <c r="E143" s="7">
        <v>0.13</v>
      </c>
      <c r="F143" s="5" t="s">
        <v>172</v>
      </c>
      <c r="G143" s="2" t="s">
        <v>188</v>
      </c>
      <c r="H143" s="2" t="s">
        <v>11</v>
      </c>
      <c r="I143" s="2" t="s">
        <v>48</v>
      </c>
      <c r="J143" s="2" t="s">
        <v>13</v>
      </c>
      <c r="L143" s="2" t="s">
        <v>466</v>
      </c>
    </row>
    <row r="144" spans="1:12" x14ac:dyDescent="0.15">
      <c r="A144" s="2" t="s">
        <v>187</v>
      </c>
      <c r="B144" s="6">
        <v>471</v>
      </c>
      <c r="C144" s="6">
        <v>40</v>
      </c>
      <c r="D144" s="7">
        <v>1.1000000000000001</v>
      </c>
      <c r="E144" s="7">
        <v>0.16</v>
      </c>
      <c r="F144" s="5" t="s">
        <v>172</v>
      </c>
      <c r="G144" s="2" t="s">
        <v>188</v>
      </c>
      <c r="H144" s="2" t="s">
        <v>11</v>
      </c>
      <c r="I144" s="2" t="s">
        <v>12</v>
      </c>
      <c r="J144" s="2" t="s">
        <v>13</v>
      </c>
      <c r="L144" s="2" t="s">
        <v>466</v>
      </c>
    </row>
    <row r="145" spans="1:12" ht="14" x14ac:dyDescent="0.15">
      <c r="A145" s="2" t="s">
        <v>189</v>
      </c>
      <c r="B145" s="6">
        <v>492</v>
      </c>
      <c r="C145" s="6">
        <v>40</v>
      </c>
      <c r="D145" s="7">
        <v>1.33</v>
      </c>
      <c r="E145" s="7">
        <v>0.1</v>
      </c>
      <c r="F145" s="5" t="s">
        <v>172</v>
      </c>
      <c r="G145" s="2" t="s">
        <v>188</v>
      </c>
      <c r="H145" s="2" t="s">
        <v>11</v>
      </c>
      <c r="I145" s="2" t="s">
        <v>12</v>
      </c>
      <c r="J145" s="2" t="s">
        <v>13</v>
      </c>
      <c r="L145" s="3" t="s">
        <v>467</v>
      </c>
    </row>
    <row r="146" spans="1:12" ht="14" x14ac:dyDescent="0.15">
      <c r="A146" s="2" t="s">
        <v>189</v>
      </c>
      <c r="B146" s="6">
        <v>511</v>
      </c>
      <c r="C146" s="6">
        <v>40</v>
      </c>
      <c r="D146" s="7">
        <v>0.81</v>
      </c>
      <c r="E146" s="7">
        <v>0.1</v>
      </c>
      <c r="F146" s="5" t="s">
        <v>172</v>
      </c>
      <c r="G146" s="2" t="s">
        <v>188</v>
      </c>
      <c r="H146" s="2" t="s">
        <v>11</v>
      </c>
      <c r="I146" s="2" t="s">
        <v>12</v>
      </c>
      <c r="J146" s="2" t="s">
        <v>13</v>
      </c>
      <c r="L146" s="3" t="s">
        <v>467</v>
      </c>
    </row>
    <row r="147" spans="1:12" ht="14" x14ac:dyDescent="0.15">
      <c r="A147" s="2" t="s">
        <v>189</v>
      </c>
      <c r="B147" s="6">
        <v>511</v>
      </c>
      <c r="C147" s="6">
        <v>40</v>
      </c>
      <c r="D147" s="7">
        <v>1.55</v>
      </c>
      <c r="E147" s="7">
        <v>0.1</v>
      </c>
      <c r="F147" s="5" t="s">
        <v>172</v>
      </c>
      <c r="G147" s="2" t="s">
        <v>188</v>
      </c>
      <c r="H147" s="2" t="s">
        <v>11</v>
      </c>
      <c r="I147" s="2" t="s">
        <v>48</v>
      </c>
      <c r="J147" s="2" t="s">
        <v>13</v>
      </c>
      <c r="L147" s="3" t="s">
        <v>467</v>
      </c>
    </row>
    <row r="148" spans="1:12" ht="14" x14ac:dyDescent="0.15">
      <c r="A148" s="2" t="s">
        <v>189</v>
      </c>
      <c r="B148" s="6">
        <v>470</v>
      </c>
      <c r="C148" s="6">
        <v>40</v>
      </c>
      <c r="D148" s="7">
        <v>1.38</v>
      </c>
      <c r="E148" s="7">
        <v>0.1</v>
      </c>
      <c r="F148" s="5" t="s">
        <v>172</v>
      </c>
      <c r="G148" s="2" t="s">
        <v>188</v>
      </c>
      <c r="H148" s="2" t="s">
        <v>11</v>
      </c>
      <c r="I148" s="2" t="s">
        <v>48</v>
      </c>
      <c r="J148" s="2" t="s">
        <v>13</v>
      </c>
      <c r="L148" s="3" t="s">
        <v>467</v>
      </c>
    </row>
    <row r="149" spans="1:12" x14ac:dyDescent="0.15">
      <c r="A149" s="2" t="s">
        <v>190</v>
      </c>
      <c r="B149" s="6">
        <v>615</v>
      </c>
      <c r="C149" s="6">
        <v>40</v>
      </c>
      <c r="D149" s="7">
        <v>2.8</v>
      </c>
      <c r="E149" s="7">
        <v>0.1</v>
      </c>
      <c r="F149" s="5" t="s">
        <v>191</v>
      </c>
      <c r="G149" s="2" t="s">
        <v>192</v>
      </c>
      <c r="H149" s="2" t="s">
        <v>11</v>
      </c>
      <c r="I149" s="2" t="s">
        <v>12</v>
      </c>
      <c r="J149" s="2" t="s">
        <v>13</v>
      </c>
      <c r="L149" s="2" t="s">
        <v>468</v>
      </c>
    </row>
    <row r="150" spans="1:12" x14ac:dyDescent="0.15">
      <c r="A150" s="2" t="s">
        <v>193</v>
      </c>
      <c r="B150" s="6">
        <v>375</v>
      </c>
      <c r="C150" s="6">
        <v>75</v>
      </c>
      <c r="D150" s="7">
        <v>0.9</v>
      </c>
      <c r="E150" s="7">
        <v>0.1</v>
      </c>
      <c r="F150" s="5" t="s">
        <v>191</v>
      </c>
      <c r="G150" s="2" t="s">
        <v>194</v>
      </c>
      <c r="H150" s="2" t="s">
        <v>28</v>
      </c>
      <c r="I150" s="2" t="s">
        <v>12</v>
      </c>
      <c r="J150" s="2" t="s">
        <v>25</v>
      </c>
      <c r="L150" s="2" t="s">
        <v>469</v>
      </c>
    </row>
    <row r="151" spans="1:12" x14ac:dyDescent="0.15">
      <c r="A151" s="4" t="s">
        <v>195</v>
      </c>
      <c r="B151" s="6">
        <v>525</v>
      </c>
      <c r="C151" s="6">
        <v>40</v>
      </c>
      <c r="D151" s="7">
        <v>1.3</v>
      </c>
      <c r="E151" s="7">
        <v>0.1</v>
      </c>
      <c r="F151" s="5" t="s">
        <v>191</v>
      </c>
      <c r="G151" s="2" t="s">
        <v>196</v>
      </c>
      <c r="H151" s="2" t="s">
        <v>197</v>
      </c>
      <c r="I151" s="2" t="s">
        <v>12</v>
      </c>
      <c r="J151" s="2" t="s">
        <v>22</v>
      </c>
      <c r="L151" s="2" t="s">
        <v>470</v>
      </c>
    </row>
    <row r="152" spans="1:12" x14ac:dyDescent="0.15">
      <c r="A152" s="4" t="s">
        <v>198</v>
      </c>
      <c r="B152" s="6">
        <v>557.5</v>
      </c>
      <c r="C152" s="6">
        <v>42.5</v>
      </c>
      <c r="D152" s="7">
        <v>2.2999999999999998</v>
      </c>
      <c r="E152" s="7">
        <v>0.4</v>
      </c>
      <c r="F152" s="5" t="s">
        <v>191</v>
      </c>
      <c r="G152" s="2" t="s">
        <v>196</v>
      </c>
      <c r="H152" s="2" t="s">
        <v>11</v>
      </c>
      <c r="I152" s="2" t="s">
        <v>12</v>
      </c>
      <c r="J152" s="2" t="s">
        <v>17</v>
      </c>
      <c r="L152" s="2" t="s">
        <v>471</v>
      </c>
    </row>
    <row r="153" spans="1:12" x14ac:dyDescent="0.15">
      <c r="A153" s="4" t="s">
        <v>199</v>
      </c>
      <c r="B153" s="6">
        <v>490</v>
      </c>
      <c r="C153" s="6">
        <v>40</v>
      </c>
      <c r="D153" s="7">
        <v>1.9</v>
      </c>
      <c r="E153" s="7">
        <v>0.1</v>
      </c>
      <c r="F153" s="5" t="s">
        <v>191</v>
      </c>
      <c r="G153" s="2" t="s">
        <v>200</v>
      </c>
      <c r="I153" s="2" t="s">
        <v>12</v>
      </c>
      <c r="J153" s="2" t="s">
        <v>17</v>
      </c>
      <c r="L153" s="2" t="s">
        <v>472</v>
      </c>
    </row>
    <row r="154" spans="1:12" x14ac:dyDescent="0.15">
      <c r="A154" s="4" t="s">
        <v>201</v>
      </c>
      <c r="B154" s="6">
        <v>560</v>
      </c>
      <c r="C154" s="6">
        <v>40</v>
      </c>
      <c r="D154" s="7">
        <v>2.5</v>
      </c>
      <c r="E154" s="7">
        <v>0.1</v>
      </c>
      <c r="F154" s="5" t="s">
        <v>191</v>
      </c>
      <c r="G154" s="2" t="s">
        <v>202</v>
      </c>
      <c r="H154" s="2" t="s">
        <v>28</v>
      </c>
      <c r="I154" s="2" t="s">
        <v>12</v>
      </c>
      <c r="J154" s="2" t="s">
        <v>17</v>
      </c>
      <c r="L154" s="2" t="s">
        <v>473</v>
      </c>
    </row>
    <row r="155" spans="1:12" x14ac:dyDescent="0.15">
      <c r="A155" s="2" t="s">
        <v>203</v>
      </c>
      <c r="B155" s="11">
        <v>545</v>
      </c>
      <c r="C155" s="11">
        <v>40</v>
      </c>
      <c r="D155" s="12">
        <v>2</v>
      </c>
      <c r="E155" s="12">
        <v>0.1</v>
      </c>
      <c r="F155" s="5" t="s">
        <v>191</v>
      </c>
      <c r="G155" s="2" t="s">
        <v>204</v>
      </c>
      <c r="H155" s="2" t="s">
        <v>11</v>
      </c>
      <c r="I155" s="2" t="s">
        <v>12</v>
      </c>
      <c r="J155" s="2" t="s">
        <v>22</v>
      </c>
      <c r="L155" s="2" t="s">
        <v>474</v>
      </c>
    </row>
    <row r="156" spans="1:12" x14ac:dyDescent="0.15">
      <c r="A156" s="2" t="s">
        <v>205</v>
      </c>
      <c r="B156" s="6">
        <v>550</v>
      </c>
      <c r="C156" s="6">
        <v>40</v>
      </c>
      <c r="D156" s="7">
        <v>2.5499999999999998</v>
      </c>
      <c r="E156" s="7">
        <v>0.1</v>
      </c>
      <c r="F156" s="5" t="s">
        <v>191</v>
      </c>
      <c r="G156" s="2" t="s">
        <v>204</v>
      </c>
      <c r="H156" s="2" t="s">
        <v>11</v>
      </c>
      <c r="I156" s="2" t="s">
        <v>12</v>
      </c>
      <c r="J156" s="2" t="s">
        <v>17</v>
      </c>
      <c r="L156" s="2" t="s">
        <v>475</v>
      </c>
    </row>
    <row r="157" spans="1:12" ht="14" x14ac:dyDescent="0.15">
      <c r="A157" s="2" t="s">
        <v>206</v>
      </c>
      <c r="B157" s="6">
        <v>560</v>
      </c>
      <c r="C157" s="6">
        <v>40</v>
      </c>
      <c r="D157" s="7">
        <v>2.65</v>
      </c>
      <c r="E157" s="7">
        <v>0.1</v>
      </c>
      <c r="F157" s="5" t="s">
        <v>191</v>
      </c>
      <c r="G157" s="2" t="s">
        <v>207</v>
      </c>
      <c r="H157" s="2" t="s">
        <v>11</v>
      </c>
      <c r="I157" s="2" t="s">
        <v>12</v>
      </c>
      <c r="J157" s="2" t="s">
        <v>17</v>
      </c>
      <c r="L157" s="3" t="s">
        <v>476</v>
      </c>
    </row>
    <row r="158" spans="1:12" x14ac:dyDescent="0.15">
      <c r="A158" s="2" t="s">
        <v>208</v>
      </c>
      <c r="B158" s="6">
        <v>580</v>
      </c>
      <c r="C158" s="6">
        <v>40</v>
      </c>
      <c r="D158" s="7">
        <v>1.9</v>
      </c>
      <c r="E158" s="7">
        <v>0.2</v>
      </c>
      <c r="F158" s="5" t="s">
        <v>191</v>
      </c>
      <c r="G158" s="2" t="s">
        <v>207</v>
      </c>
      <c r="H158" s="2" t="s">
        <v>11</v>
      </c>
      <c r="I158" s="2" t="s">
        <v>12</v>
      </c>
      <c r="J158" s="2" t="s">
        <v>555</v>
      </c>
      <c r="L158" s="2" t="s">
        <v>477</v>
      </c>
    </row>
    <row r="159" spans="1:12" x14ac:dyDescent="0.15">
      <c r="A159" s="2" t="s">
        <v>208</v>
      </c>
      <c r="B159" s="6">
        <v>450</v>
      </c>
      <c r="C159" s="6">
        <v>50</v>
      </c>
      <c r="D159" s="7">
        <v>1.2</v>
      </c>
      <c r="E159" s="7">
        <v>0.3</v>
      </c>
      <c r="F159" s="5" t="s">
        <v>191</v>
      </c>
      <c r="G159" s="2" t="s">
        <v>209</v>
      </c>
      <c r="I159" s="2" t="s">
        <v>12</v>
      </c>
      <c r="J159" s="2" t="s">
        <v>555</v>
      </c>
      <c r="L159" s="2" t="s">
        <v>477</v>
      </c>
    </row>
    <row r="160" spans="1:12" x14ac:dyDescent="0.15">
      <c r="A160" s="2" t="s">
        <v>98</v>
      </c>
      <c r="B160" s="6">
        <v>544</v>
      </c>
      <c r="C160" s="6">
        <v>40</v>
      </c>
      <c r="D160" s="7">
        <v>2.99</v>
      </c>
      <c r="E160" s="7">
        <v>0.28000000000000003</v>
      </c>
      <c r="F160" s="5" t="s">
        <v>191</v>
      </c>
      <c r="G160" s="2" t="s">
        <v>210</v>
      </c>
      <c r="H160" s="2" t="s">
        <v>11</v>
      </c>
      <c r="I160" s="2" t="s">
        <v>12</v>
      </c>
      <c r="J160" s="2" t="s">
        <v>13</v>
      </c>
      <c r="L160" s="2" t="s">
        <v>422</v>
      </c>
    </row>
    <row r="161" spans="1:12" ht="14" x14ac:dyDescent="0.15">
      <c r="A161" s="2" t="s">
        <v>211</v>
      </c>
      <c r="B161" s="6">
        <v>551</v>
      </c>
      <c r="C161" s="6">
        <v>40</v>
      </c>
      <c r="D161" s="7">
        <v>1.925</v>
      </c>
      <c r="E161" s="7">
        <v>0.1</v>
      </c>
      <c r="F161" s="5" t="s">
        <v>191</v>
      </c>
      <c r="G161" s="2" t="s">
        <v>212</v>
      </c>
      <c r="H161" s="2" t="s">
        <v>11</v>
      </c>
      <c r="I161" s="2" t="s">
        <v>48</v>
      </c>
      <c r="J161" s="2" t="s">
        <v>22</v>
      </c>
      <c r="L161" s="3" t="s">
        <v>478</v>
      </c>
    </row>
    <row r="162" spans="1:12" x14ac:dyDescent="0.15">
      <c r="A162" s="2" t="s">
        <v>211</v>
      </c>
      <c r="B162" s="6">
        <v>550</v>
      </c>
      <c r="C162" s="6">
        <v>40</v>
      </c>
      <c r="D162" s="7">
        <v>1.7849999999999999</v>
      </c>
      <c r="E162" s="7">
        <v>0.1</v>
      </c>
      <c r="F162" s="5" t="s">
        <v>191</v>
      </c>
      <c r="G162" s="2" t="s">
        <v>212</v>
      </c>
      <c r="H162" s="2" t="s">
        <v>11</v>
      </c>
      <c r="I162" s="2" t="s">
        <v>48</v>
      </c>
      <c r="J162" s="2" t="s">
        <v>22</v>
      </c>
      <c r="L162" s="2" t="s">
        <v>478</v>
      </c>
    </row>
    <row r="163" spans="1:12" x14ac:dyDescent="0.15">
      <c r="A163" s="2" t="s">
        <v>213</v>
      </c>
      <c r="B163" s="6">
        <v>610</v>
      </c>
      <c r="C163" s="6">
        <v>40</v>
      </c>
      <c r="D163" s="7">
        <v>2.0099999999999998</v>
      </c>
      <c r="E163" s="7">
        <v>0.18</v>
      </c>
      <c r="F163" s="5" t="s">
        <v>191</v>
      </c>
      <c r="G163" s="2" t="s">
        <v>214</v>
      </c>
      <c r="H163" s="2" t="s">
        <v>11</v>
      </c>
      <c r="I163" s="2" t="s">
        <v>48</v>
      </c>
      <c r="J163" s="2" t="s">
        <v>22</v>
      </c>
      <c r="L163" s="2" t="s">
        <v>478</v>
      </c>
    </row>
    <row r="164" spans="1:12" x14ac:dyDescent="0.15">
      <c r="A164" s="2" t="s">
        <v>213</v>
      </c>
      <c r="B164" s="6">
        <v>547</v>
      </c>
      <c r="C164" s="6">
        <v>40</v>
      </c>
      <c r="D164" s="7">
        <v>1.37</v>
      </c>
      <c r="E164" s="7">
        <v>0.1</v>
      </c>
      <c r="F164" s="5" t="s">
        <v>191</v>
      </c>
      <c r="G164" s="2" t="s">
        <v>214</v>
      </c>
      <c r="H164" s="2" t="s">
        <v>11</v>
      </c>
      <c r="I164" s="2" t="s">
        <v>48</v>
      </c>
      <c r="J164" s="2" t="s">
        <v>22</v>
      </c>
      <c r="L164" s="2" t="s">
        <v>478</v>
      </c>
    </row>
    <row r="165" spans="1:12" ht="14" x14ac:dyDescent="0.15">
      <c r="A165" s="2" t="s">
        <v>215</v>
      </c>
      <c r="B165" s="5">
        <v>328</v>
      </c>
      <c r="C165" s="5">
        <v>40</v>
      </c>
      <c r="D165" s="5">
        <v>0.56499999999999995</v>
      </c>
      <c r="E165" s="5">
        <v>0.1</v>
      </c>
      <c r="F165" s="5" t="s">
        <v>216</v>
      </c>
      <c r="G165" s="2" t="s">
        <v>217</v>
      </c>
      <c r="H165" s="2" t="s">
        <v>83</v>
      </c>
      <c r="I165" s="2" t="s">
        <v>12</v>
      </c>
      <c r="J165" s="2" t="s">
        <v>13</v>
      </c>
      <c r="L165" s="3" t="s">
        <v>479</v>
      </c>
    </row>
    <row r="166" spans="1:12" x14ac:dyDescent="0.15">
      <c r="A166" s="2" t="s">
        <v>218</v>
      </c>
      <c r="B166" s="6">
        <v>490</v>
      </c>
      <c r="C166" s="6">
        <v>40</v>
      </c>
      <c r="D166" s="7">
        <v>1.85</v>
      </c>
      <c r="E166" s="7">
        <v>0.25</v>
      </c>
      <c r="F166" s="5" t="s">
        <v>219</v>
      </c>
      <c r="G166" s="2" t="s">
        <v>220</v>
      </c>
      <c r="H166" s="2" t="s">
        <v>11</v>
      </c>
      <c r="I166" s="2" t="s">
        <v>12</v>
      </c>
      <c r="J166" s="2" t="s">
        <v>552</v>
      </c>
      <c r="L166" s="2" t="s">
        <v>480</v>
      </c>
    </row>
    <row r="167" spans="1:12" x14ac:dyDescent="0.15">
      <c r="A167" s="2" t="s">
        <v>221</v>
      </c>
      <c r="B167" s="6">
        <v>650</v>
      </c>
      <c r="C167" s="6">
        <v>150</v>
      </c>
      <c r="D167" s="7">
        <f>(2.5-1.4)/2+1.4</f>
        <v>1.95</v>
      </c>
      <c r="E167" s="7">
        <v>0.55000000000000004</v>
      </c>
      <c r="F167" s="5" t="s">
        <v>219</v>
      </c>
      <c r="G167" s="2" t="s">
        <v>222</v>
      </c>
      <c r="H167" s="2" t="s">
        <v>11</v>
      </c>
      <c r="I167" s="2" t="s">
        <v>12</v>
      </c>
      <c r="J167" s="2" t="s">
        <v>22</v>
      </c>
      <c r="L167" s="2" t="s">
        <v>481</v>
      </c>
    </row>
    <row r="168" spans="1:12" x14ac:dyDescent="0.15">
      <c r="A168" s="2" t="s">
        <v>223</v>
      </c>
      <c r="B168" s="6">
        <v>600</v>
      </c>
      <c r="C168" s="6">
        <v>40</v>
      </c>
      <c r="D168" s="7">
        <v>1.95</v>
      </c>
      <c r="E168" s="7">
        <v>0.55000000000000004</v>
      </c>
      <c r="F168" s="5" t="s">
        <v>219</v>
      </c>
      <c r="G168" s="2" t="s">
        <v>224</v>
      </c>
      <c r="H168" s="2" t="s">
        <v>11</v>
      </c>
      <c r="I168" s="2" t="s">
        <v>12</v>
      </c>
      <c r="J168" s="2" t="s">
        <v>556</v>
      </c>
      <c r="L168" s="2" t="s">
        <v>482</v>
      </c>
    </row>
    <row r="169" spans="1:12" x14ac:dyDescent="0.15">
      <c r="A169" s="2" t="s">
        <v>225</v>
      </c>
      <c r="B169" s="6">
        <v>377</v>
      </c>
      <c r="C169" s="6">
        <v>46</v>
      </c>
      <c r="D169" s="7">
        <v>0.85</v>
      </c>
      <c r="E169" s="7">
        <v>0.2</v>
      </c>
      <c r="F169" s="5" t="s">
        <v>219</v>
      </c>
      <c r="G169" s="2" t="s">
        <v>226</v>
      </c>
      <c r="H169" s="2" t="s">
        <v>11</v>
      </c>
      <c r="I169" s="2" t="s">
        <v>12</v>
      </c>
      <c r="J169" s="2" t="s">
        <v>556</v>
      </c>
      <c r="L169" s="2" t="s">
        <v>483</v>
      </c>
    </row>
    <row r="170" spans="1:12" ht="14" x14ac:dyDescent="0.15">
      <c r="A170" s="2" t="s">
        <v>227</v>
      </c>
      <c r="B170" s="6">
        <v>440</v>
      </c>
      <c r="C170" s="6">
        <v>40</v>
      </c>
      <c r="D170" s="7">
        <v>0.8</v>
      </c>
      <c r="E170" s="7">
        <v>0.1</v>
      </c>
      <c r="F170" s="5" t="s">
        <v>219</v>
      </c>
      <c r="G170" s="2" t="s">
        <v>228</v>
      </c>
      <c r="H170" s="2" t="s">
        <v>11</v>
      </c>
      <c r="I170" s="2" t="s">
        <v>12</v>
      </c>
      <c r="J170" s="2" t="s">
        <v>25</v>
      </c>
      <c r="L170" s="3" t="s">
        <v>484</v>
      </c>
    </row>
    <row r="171" spans="1:12" x14ac:dyDescent="0.15">
      <c r="A171" s="2" t="s">
        <v>229</v>
      </c>
      <c r="B171" s="6">
        <v>250</v>
      </c>
      <c r="C171" s="6">
        <v>50</v>
      </c>
      <c r="D171" s="7">
        <v>0.5</v>
      </c>
      <c r="E171" s="7">
        <v>0.2</v>
      </c>
      <c r="F171" s="5" t="s">
        <v>219</v>
      </c>
      <c r="G171" s="2" t="s">
        <v>230</v>
      </c>
      <c r="H171" s="2" t="s">
        <v>11</v>
      </c>
      <c r="I171" s="2" t="s">
        <v>48</v>
      </c>
      <c r="J171" s="2" t="s">
        <v>265</v>
      </c>
      <c r="L171" s="2" t="s">
        <v>485</v>
      </c>
    </row>
    <row r="172" spans="1:12" x14ac:dyDescent="0.15">
      <c r="A172" s="2" t="s">
        <v>229</v>
      </c>
      <c r="B172" s="6">
        <v>375</v>
      </c>
      <c r="C172" s="6">
        <v>40</v>
      </c>
      <c r="D172" s="7">
        <v>1.2</v>
      </c>
      <c r="E172" s="7">
        <v>0.2</v>
      </c>
      <c r="F172" s="5" t="s">
        <v>219</v>
      </c>
      <c r="G172" s="2" t="s">
        <v>230</v>
      </c>
      <c r="H172" s="2" t="s">
        <v>11</v>
      </c>
      <c r="I172" s="2" t="s">
        <v>48</v>
      </c>
      <c r="J172" s="2" t="s">
        <v>265</v>
      </c>
      <c r="L172" s="2" t="s">
        <v>485</v>
      </c>
    </row>
    <row r="173" spans="1:12" x14ac:dyDescent="0.15">
      <c r="A173" s="2" t="s">
        <v>231</v>
      </c>
      <c r="B173" s="6">
        <v>250</v>
      </c>
      <c r="C173" s="6">
        <v>40</v>
      </c>
      <c r="D173" s="7">
        <v>0.65</v>
      </c>
      <c r="E173" s="7">
        <v>0.1</v>
      </c>
      <c r="F173" s="5" t="s">
        <v>219</v>
      </c>
      <c r="G173" s="2" t="s">
        <v>232</v>
      </c>
      <c r="H173" s="2" t="s">
        <v>11</v>
      </c>
      <c r="I173" s="2" t="s">
        <v>48</v>
      </c>
      <c r="J173" s="2" t="s">
        <v>265</v>
      </c>
      <c r="L173" s="2" t="s">
        <v>486</v>
      </c>
    </row>
    <row r="174" spans="1:12" ht="14" x14ac:dyDescent="0.15">
      <c r="A174" s="2" t="s">
        <v>233</v>
      </c>
      <c r="B174" s="6">
        <v>520</v>
      </c>
      <c r="C174" s="6">
        <v>40</v>
      </c>
      <c r="D174" s="7">
        <v>0.875</v>
      </c>
      <c r="E174" s="7">
        <v>0.125</v>
      </c>
      <c r="F174" s="5" t="s">
        <v>219</v>
      </c>
      <c r="G174" s="2" t="s">
        <v>234</v>
      </c>
      <c r="H174" s="2" t="s">
        <v>11</v>
      </c>
      <c r="I174" s="2" t="s">
        <v>12</v>
      </c>
      <c r="J174" s="2" t="s">
        <v>22</v>
      </c>
      <c r="L174" s="3" t="s">
        <v>487</v>
      </c>
    </row>
    <row r="175" spans="1:12" ht="14" x14ac:dyDescent="0.15">
      <c r="A175" s="2" t="s">
        <v>235</v>
      </c>
      <c r="B175" s="6">
        <v>535</v>
      </c>
      <c r="C175" s="6">
        <v>40</v>
      </c>
      <c r="D175" s="7">
        <v>1.8</v>
      </c>
      <c r="E175" s="7">
        <v>0.15</v>
      </c>
      <c r="F175" s="5" t="s">
        <v>219</v>
      </c>
      <c r="G175" s="2" t="s">
        <v>236</v>
      </c>
      <c r="H175" s="2" t="s">
        <v>11</v>
      </c>
      <c r="I175" s="2" t="s">
        <v>48</v>
      </c>
      <c r="J175" s="2" t="s">
        <v>265</v>
      </c>
      <c r="L175" s="3" t="s">
        <v>488</v>
      </c>
    </row>
    <row r="176" spans="1:12" x14ac:dyDescent="0.15">
      <c r="A176" s="2" t="s">
        <v>237</v>
      </c>
      <c r="B176" s="6">
        <v>605</v>
      </c>
      <c r="C176" s="6">
        <v>40</v>
      </c>
      <c r="D176" s="7">
        <v>1.625</v>
      </c>
      <c r="E176" s="7">
        <v>0.1</v>
      </c>
      <c r="F176" s="5" t="s">
        <v>219</v>
      </c>
      <c r="G176" s="2" t="s">
        <v>238</v>
      </c>
      <c r="H176" s="2" t="s">
        <v>11</v>
      </c>
      <c r="I176" s="2" t="s">
        <v>12</v>
      </c>
      <c r="J176" s="2" t="s">
        <v>17</v>
      </c>
      <c r="L176" s="2" t="s">
        <v>489</v>
      </c>
    </row>
    <row r="177" spans="1:12" x14ac:dyDescent="0.15">
      <c r="A177" s="2" t="s">
        <v>237</v>
      </c>
      <c r="B177" s="6">
        <v>580</v>
      </c>
      <c r="C177" s="6">
        <v>40</v>
      </c>
      <c r="D177" s="7">
        <v>1.45</v>
      </c>
      <c r="E177" s="7">
        <v>0.1</v>
      </c>
      <c r="F177" s="5" t="s">
        <v>219</v>
      </c>
      <c r="G177" s="2" t="s">
        <v>239</v>
      </c>
      <c r="H177" s="2" t="s">
        <v>11</v>
      </c>
      <c r="I177" s="2" t="s">
        <v>12</v>
      </c>
      <c r="J177" s="2" t="s">
        <v>17</v>
      </c>
      <c r="L177" s="2" t="s">
        <v>489</v>
      </c>
    </row>
    <row r="178" spans="1:12" x14ac:dyDescent="0.15">
      <c r="A178" s="2" t="s">
        <v>237</v>
      </c>
      <c r="B178" s="6">
        <v>565</v>
      </c>
      <c r="C178" s="6">
        <v>40</v>
      </c>
      <c r="D178" s="7">
        <v>1.75</v>
      </c>
      <c r="E178" s="7">
        <v>0.1</v>
      </c>
      <c r="F178" s="5" t="s">
        <v>219</v>
      </c>
      <c r="G178" s="2" t="s">
        <v>240</v>
      </c>
      <c r="H178" s="2" t="s">
        <v>11</v>
      </c>
      <c r="I178" s="2" t="s">
        <v>12</v>
      </c>
      <c r="J178" s="2" t="s">
        <v>17</v>
      </c>
      <c r="L178" s="2" t="s">
        <v>489</v>
      </c>
    </row>
    <row r="179" spans="1:12" x14ac:dyDescent="0.15">
      <c r="A179" s="2" t="s">
        <v>237</v>
      </c>
      <c r="B179" s="6">
        <v>570</v>
      </c>
      <c r="C179" s="6">
        <v>40</v>
      </c>
      <c r="D179" s="7">
        <v>1.85</v>
      </c>
      <c r="E179" s="7">
        <v>0.15</v>
      </c>
      <c r="F179" s="5" t="s">
        <v>219</v>
      </c>
      <c r="G179" s="2" t="s">
        <v>240</v>
      </c>
      <c r="H179" s="2" t="s">
        <v>11</v>
      </c>
      <c r="I179" s="2" t="s">
        <v>12</v>
      </c>
      <c r="J179" s="2" t="s">
        <v>17</v>
      </c>
      <c r="L179" s="2" t="s">
        <v>489</v>
      </c>
    </row>
    <row r="180" spans="1:12" x14ac:dyDescent="0.15">
      <c r="A180" s="2" t="s">
        <v>241</v>
      </c>
      <c r="B180" s="6">
        <v>250</v>
      </c>
      <c r="C180" s="6">
        <v>40</v>
      </c>
      <c r="D180" s="7">
        <v>0.42499999999999999</v>
      </c>
      <c r="E180" s="7">
        <v>0.1</v>
      </c>
      <c r="F180" s="5" t="s">
        <v>219</v>
      </c>
      <c r="G180" s="2" t="s">
        <v>242</v>
      </c>
      <c r="H180" s="2" t="s">
        <v>11</v>
      </c>
      <c r="I180" s="2" t="s">
        <v>12</v>
      </c>
      <c r="J180" s="2" t="s">
        <v>25</v>
      </c>
      <c r="L180" s="2" t="s">
        <v>490</v>
      </c>
    </row>
    <row r="181" spans="1:12" ht="14" x14ac:dyDescent="0.15">
      <c r="A181" s="2" t="s">
        <v>243</v>
      </c>
      <c r="B181" s="6">
        <v>510</v>
      </c>
      <c r="C181" s="6">
        <v>40</v>
      </c>
      <c r="D181" s="7">
        <v>1.7</v>
      </c>
      <c r="E181" s="7">
        <v>0.2</v>
      </c>
      <c r="F181" s="5" t="s">
        <v>219</v>
      </c>
      <c r="G181" s="2" t="s">
        <v>242</v>
      </c>
      <c r="H181" s="2" t="s">
        <v>11</v>
      </c>
      <c r="I181" s="2" t="s">
        <v>12</v>
      </c>
      <c r="J181" s="2" t="s">
        <v>13</v>
      </c>
      <c r="L181" s="3" t="s">
        <v>491</v>
      </c>
    </row>
    <row r="182" spans="1:12" x14ac:dyDescent="0.15">
      <c r="A182" s="2" t="s">
        <v>244</v>
      </c>
      <c r="B182" s="6">
        <v>605</v>
      </c>
      <c r="C182" s="6">
        <v>55</v>
      </c>
      <c r="D182" s="7">
        <v>2.2000000000000002</v>
      </c>
      <c r="E182" s="7">
        <v>0.1</v>
      </c>
      <c r="F182" s="5" t="s">
        <v>245</v>
      </c>
      <c r="G182" s="2" t="s">
        <v>246</v>
      </c>
      <c r="H182" s="2" t="s">
        <v>56</v>
      </c>
      <c r="I182" s="2" t="s">
        <v>12</v>
      </c>
      <c r="J182" s="2" t="s">
        <v>13</v>
      </c>
      <c r="L182" s="2" t="s">
        <v>492</v>
      </c>
    </row>
    <row r="183" spans="1:12" x14ac:dyDescent="0.15">
      <c r="A183" s="2" t="s">
        <v>247</v>
      </c>
      <c r="B183" s="5">
        <v>450</v>
      </c>
      <c r="C183" s="5">
        <v>40</v>
      </c>
      <c r="D183" s="5">
        <v>1.6</v>
      </c>
      <c r="E183" s="5">
        <v>0.1</v>
      </c>
      <c r="F183" s="5" t="s">
        <v>248</v>
      </c>
      <c r="G183" s="2" t="s">
        <v>249</v>
      </c>
      <c r="H183" s="2" t="s">
        <v>83</v>
      </c>
      <c r="I183" s="2" t="s">
        <v>12</v>
      </c>
      <c r="J183" s="2" t="s">
        <v>557</v>
      </c>
      <c r="L183" s="2" t="s">
        <v>493</v>
      </c>
    </row>
    <row r="184" spans="1:12" x14ac:dyDescent="0.15">
      <c r="A184" s="2" t="s">
        <v>247</v>
      </c>
      <c r="B184" s="5">
        <v>495</v>
      </c>
      <c r="C184" s="5">
        <v>40</v>
      </c>
      <c r="D184" s="5">
        <v>1.7</v>
      </c>
      <c r="E184" s="5">
        <v>0.1</v>
      </c>
      <c r="F184" s="5" t="s">
        <v>248</v>
      </c>
      <c r="G184" s="2" t="s">
        <v>249</v>
      </c>
      <c r="H184" s="2" t="s">
        <v>83</v>
      </c>
      <c r="I184" s="2" t="s">
        <v>12</v>
      </c>
      <c r="J184" s="2" t="s">
        <v>557</v>
      </c>
      <c r="L184" s="2" t="s">
        <v>493</v>
      </c>
    </row>
    <row r="185" spans="1:12" x14ac:dyDescent="0.15">
      <c r="A185" s="2" t="s">
        <v>247</v>
      </c>
      <c r="B185" s="5">
        <v>525</v>
      </c>
      <c r="C185" s="5">
        <v>40</v>
      </c>
      <c r="D185" s="5">
        <v>1.9</v>
      </c>
      <c r="E185" s="5">
        <v>0.1</v>
      </c>
      <c r="F185" s="5" t="s">
        <v>248</v>
      </c>
      <c r="G185" s="2" t="s">
        <v>249</v>
      </c>
      <c r="H185" s="2" t="s">
        <v>83</v>
      </c>
      <c r="I185" s="2" t="s">
        <v>12</v>
      </c>
      <c r="J185" s="2" t="s">
        <v>557</v>
      </c>
      <c r="L185" s="2" t="s">
        <v>493</v>
      </c>
    </row>
    <row r="186" spans="1:12" x14ac:dyDescent="0.15">
      <c r="A186" s="2" t="s">
        <v>247</v>
      </c>
      <c r="B186" s="5">
        <v>545</v>
      </c>
      <c r="C186" s="5">
        <v>40</v>
      </c>
      <c r="D186" s="5">
        <v>2.2999999999999998</v>
      </c>
      <c r="E186" s="5">
        <v>0.25</v>
      </c>
      <c r="F186" s="5" t="s">
        <v>248</v>
      </c>
      <c r="G186" s="2" t="s">
        <v>249</v>
      </c>
      <c r="H186" s="2" t="s">
        <v>83</v>
      </c>
      <c r="I186" s="2" t="s">
        <v>12</v>
      </c>
      <c r="J186" s="2" t="s">
        <v>557</v>
      </c>
      <c r="L186" s="2" t="s">
        <v>493</v>
      </c>
    </row>
    <row r="187" spans="1:12" x14ac:dyDescent="0.15">
      <c r="A187" s="2" t="s">
        <v>247</v>
      </c>
      <c r="B187" s="5">
        <v>340</v>
      </c>
      <c r="C187" s="5">
        <v>40</v>
      </c>
      <c r="D187" s="5">
        <v>0.75</v>
      </c>
      <c r="E187" s="5">
        <v>0.1</v>
      </c>
      <c r="F187" s="5" t="s">
        <v>248</v>
      </c>
      <c r="G187" s="2" t="s">
        <v>249</v>
      </c>
      <c r="H187" s="2" t="s">
        <v>83</v>
      </c>
      <c r="I187" s="2" t="s">
        <v>12</v>
      </c>
      <c r="J187" s="2" t="s">
        <v>557</v>
      </c>
      <c r="L187" s="2" t="s">
        <v>493</v>
      </c>
    </row>
    <row r="188" spans="1:12" x14ac:dyDescent="0.15">
      <c r="A188" s="2" t="s">
        <v>250</v>
      </c>
      <c r="B188" s="5">
        <v>410</v>
      </c>
      <c r="C188" s="5">
        <v>50</v>
      </c>
      <c r="D188" s="5">
        <v>1.4</v>
      </c>
      <c r="E188" s="5">
        <v>0.25</v>
      </c>
      <c r="F188" s="5" t="s">
        <v>248</v>
      </c>
      <c r="G188" s="2" t="s">
        <v>251</v>
      </c>
      <c r="H188" s="2" t="s">
        <v>83</v>
      </c>
      <c r="I188" s="2" t="s">
        <v>12</v>
      </c>
      <c r="J188" s="2" t="s">
        <v>17</v>
      </c>
      <c r="L188" s="2" t="s">
        <v>494</v>
      </c>
    </row>
    <row r="189" spans="1:12" x14ac:dyDescent="0.15">
      <c r="A189" s="2" t="s">
        <v>252</v>
      </c>
      <c r="B189" s="5">
        <v>600</v>
      </c>
      <c r="C189" s="5">
        <v>40</v>
      </c>
      <c r="D189" s="5">
        <v>1.9</v>
      </c>
      <c r="E189" s="5">
        <v>0.1</v>
      </c>
      <c r="F189" s="5" t="s">
        <v>248</v>
      </c>
      <c r="G189" s="2" t="s">
        <v>253</v>
      </c>
      <c r="H189" s="2" t="s">
        <v>83</v>
      </c>
      <c r="I189" s="2" t="s">
        <v>12</v>
      </c>
      <c r="J189" s="2" t="s">
        <v>17</v>
      </c>
      <c r="L189" s="2" t="s">
        <v>495</v>
      </c>
    </row>
    <row r="190" spans="1:12" x14ac:dyDescent="0.15">
      <c r="A190" s="2" t="s">
        <v>254</v>
      </c>
      <c r="B190" s="5">
        <v>400</v>
      </c>
      <c r="C190" s="5">
        <v>58</v>
      </c>
      <c r="D190" s="5">
        <v>0.8</v>
      </c>
      <c r="E190" s="5">
        <v>0.1</v>
      </c>
      <c r="F190" s="5" t="s">
        <v>248</v>
      </c>
      <c r="G190" s="2" t="s">
        <v>253</v>
      </c>
      <c r="H190" s="2" t="s">
        <v>83</v>
      </c>
      <c r="I190" s="2" t="s">
        <v>12</v>
      </c>
      <c r="J190" s="2" t="s">
        <v>22</v>
      </c>
      <c r="L190" s="2" t="s">
        <v>496</v>
      </c>
    </row>
    <row r="191" spans="1:12" x14ac:dyDescent="0.15">
      <c r="A191" s="2" t="s">
        <v>254</v>
      </c>
      <c r="B191" s="5">
        <v>570</v>
      </c>
      <c r="C191" s="5">
        <v>40</v>
      </c>
      <c r="D191" s="5">
        <v>1.26</v>
      </c>
      <c r="E191" s="5">
        <v>0.12</v>
      </c>
      <c r="F191" s="5" t="s">
        <v>248</v>
      </c>
      <c r="G191" s="2" t="s">
        <v>253</v>
      </c>
      <c r="H191" s="2" t="s">
        <v>83</v>
      </c>
      <c r="I191" s="2" t="s">
        <v>12</v>
      </c>
      <c r="J191" s="2" t="s">
        <v>22</v>
      </c>
      <c r="L191" s="2" t="s">
        <v>496</v>
      </c>
    </row>
    <row r="192" spans="1:12" x14ac:dyDescent="0.15">
      <c r="A192" s="2" t="s">
        <v>254</v>
      </c>
      <c r="B192" s="5">
        <v>600</v>
      </c>
      <c r="C192" s="5">
        <v>40</v>
      </c>
      <c r="D192" s="5">
        <v>2.39</v>
      </c>
      <c r="E192" s="5">
        <v>0.3</v>
      </c>
      <c r="F192" s="5" t="s">
        <v>248</v>
      </c>
      <c r="G192" s="2" t="s">
        <v>253</v>
      </c>
      <c r="H192" s="2" t="s">
        <v>83</v>
      </c>
      <c r="I192" s="2" t="s">
        <v>12</v>
      </c>
      <c r="J192" s="2" t="s">
        <v>22</v>
      </c>
      <c r="L192" s="2" t="s">
        <v>496</v>
      </c>
    </row>
    <row r="193" spans="1:12" ht="14" x14ac:dyDescent="0.15">
      <c r="A193" s="2" t="s">
        <v>255</v>
      </c>
      <c r="B193" s="5">
        <v>375</v>
      </c>
      <c r="C193" s="5">
        <v>40</v>
      </c>
      <c r="D193" s="5">
        <v>0.85</v>
      </c>
      <c r="E193" s="5">
        <v>0.15</v>
      </c>
      <c r="F193" s="5" t="s">
        <v>248</v>
      </c>
      <c r="G193" s="2" t="s">
        <v>253</v>
      </c>
      <c r="H193" s="2" t="s">
        <v>83</v>
      </c>
      <c r="I193" s="2" t="s">
        <v>12</v>
      </c>
      <c r="J193" s="2" t="s">
        <v>551</v>
      </c>
      <c r="L193" s="3" t="s">
        <v>497</v>
      </c>
    </row>
    <row r="194" spans="1:12" x14ac:dyDescent="0.15">
      <c r="A194" s="2" t="s">
        <v>255</v>
      </c>
      <c r="B194" s="5">
        <v>475</v>
      </c>
      <c r="C194" s="5">
        <v>40</v>
      </c>
      <c r="D194" s="5">
        <v>1.45</v>
      </c>
      <c r="E194" s="5">
        <v>0.15</v>
      </c>
      <c r="F194" s="5" t="s">
        <v>248</v>
      </c>
      <c r="G194" s="2" t="s">
        <v>253</v>
      </c>
      <c r="H194" s="2" t="s">
        <v>83</v>
      </c>
      <c r="I194" s="2" t="s">
        <v>12</v>
      </c>
      <c r="J194" s="2" t="s">
        <v>551</v>
      </c>
      <c r="L194" s="2" t="s">
        <v>497</v>
      </c>
    </row>
    <row r="195" spans="1:12" x14ac:dyDescent="0.15">
      <c r="A195" s="2" t="s">
        <v>255</v>
      </c>
      <c r="B195" s="5">
        <v>575</v>
      </c>
      <c r="C195" s="5">
        <v>40</v>
      </c>
      <c r="D195" s="5">
        <v>1.65</v>
      </c>
      <c r="E195" s="5">
        <v>0.1</v>
      </c>
      <c r="F195" s="5" t="s">
        <v>248</v>
      </c>
      <c r="G195" s="2" t="s">
        <v>253</v>
      </c>
      <c r="H195" s="2" t="s">
        <v>83</v>
      </c>
      <c r="I195" s="2" t="s">
        <v>12</v>
      </c>
      <c r="J195" s="2" t="s">
        <v>551</v>
      </c>
      <c r="L195" s="2" t="s">
        <v>497</v>
      </c>
    </row>
    <row r="196" spans="1:12" x14ac:dyDescent="0.15">
      <c r="A196" s="2" t="s">
        <v>255</v>
      </c>
      <c r="B196" s="5">
        <v>600</v>
      </c>
      <c r="C196" s="5">
        <v>40</v>
      </c>
      <c r="D196" s="5">
        <v>1.7</v>
      </c>
      <c r="E196" s="5">
        <v>0.1</v>
      </c>
      <c r="F196" s="5" t="s">
        <v>248</v>
      </c>
      <c r="G196" s="2" t="s">
        <v>253</v>
      </c>
      <c r="H196" s="2" t="s">
        <v>83</v>
      </c>
      <c r="I196" s="2" t="s">
        <v>12</v>
      </c>
      <c r="J196" s="2" t="s">
        <v>551</v>
      </c>
      <c r="L196" s="2" t="s">
        <v>497</v>
      </c>
    </row>
    <row r="197" spans="1:12" x14ac:dyDescent="0.15">
      <c r="A197" s="2" t="s">
        <v>256</v>
      </c>
      <c r="B197" s="5">
        <v>540</v>
      </c>
      <c r="C197" s="5">
        <v>40</v>
      </c>
      <c r="D197" s="5">
        <v>2.15</v>
      </c>
      <c r="E197" s="5">
        <v>0.15</v>
      </c>
      <c r="F197" s="5" t="s">
        <v>248</v>
      </c>
      <c r="G197" s="2" t="s">
        <v>257</v>
      </c>
      <c r="H197" s="2" t="s">
        <v>83</v>
      </c>
      <c r="I197" s="2" t="s">
        <v>48</v>
      </c>
      <c r="J197" s="2" t="s">
        <v>554</v>
      </c>
      <c r="L197" s="2" t="s">
        <v>498</v>
      </c>
    </row>
    <row r="198" spans="1:12" x14ac:dyDescent="0.15">
      <c r="A198" s="2" t="s">
        <v>258</v>
      </c>
      <c r="B198" s="6">
        <v>300</v>
      </c>
      <c r="C198" s="6">
        <v>40</v>
      </c>
      <c r="D198" s="7">
        <v>0.5</v>
      </c>
      <c r="E198" s="7">
        <v>0.1</v>
      </c>
      <c r="F198" s="5" t="s">
        <v>259</v>
      </c>
      <c r="G198" s="2" t="s">
        <v>260</v>
      </c>
      <c r="H198" s="2" t="s">
        <v>261</v>
      </c>
      <c r="I198" s="2" t="s">
        <v>12</v>
      </c>
      <c r="J198" s="2" t="s">
        <v>17</v>
      </c>
      <c r="L198" s="2" t="s">
        <v>499</v>
      </c>
    </row>
    <row r="199" spans="1:12" ht="14" x14ac:dyDescent="0.15">
      <c r="A199" s="2" t="s">
        <v>262</v>
      </c>
      <c r="B199" s="6">
        <v>589</v>
      </c>
      <c r="C199" s="6">
        <v>40</v>
      </c>
      <c r="D199" s="7">
        <v>1.6</v>
      </c>
      <c r="E199" s="7">
        <v>0.1</v>
      </c>
      <c r="F199" s="5" t="s">
        <v>263</v>
      </c>
      <c r="G199" s="2" t="s">
        <v>264</v>
      </c>
      <c r="H199" s="2" t="s">
        <v>11</v>
      </c>
      <c r="I199" s="2" t="s">
        <v>48</v>
      </c>
      <c r="J199" s="2" t="s">
        <v>265</v>
      </c>
      <c r="L199" s="3" t="s">
        <v>500</v>
      </c>
    </row>
    <row r="200" spans="1:12" ht="14" x14ac:dyDescent="0.15">
      <c r="A200" s="2" t="s">
        <v>266</v>
      </c>
      <c r="B200" s="6">
        <v>750</v>
      </c>
      <c r="C200" s="6">
        <v>60</v>
      </c>
      <c r="D200" s="7">
        <v>2.5</v>
      </c>
      <c r="E200" s="7">
        <v>0.2</v>
      </c>
      <c r="F200" s="5" t="s">
        <v>267</v>
      </c>
      <c r="G200" s="2" t="s">
        <v>268</v>
      </c>
      <c r="H200" s="2" t="s">
        <v>269</v>
      </c>
      <c r="I200" s="2" t="s">
        <v>12</v>
      </c>
      <c r="J200" s="2" t="s">
        <v>550</v>
      </c>
      <c r="L200" s="3" t="s">
        <v>501</v>
      </c>
    </row>
    <row r="201" spans="1:12" x14ac:dyDescent="0.15">
      <c r="A201" s="2" t="s">
        <v>270</v>
      </c>
      <c r="B201" s="6">
        <v>325</v>
      </c>
      <c r="C201" s="6">
        <v>40</v>
      </c>
      <c r="D201" s="7">
        <v>0.6</v>
      </c>
      <c r="E201" s="7">
        <v>0.2</v>
      </c>
      <c r="F201" s="5" t="s">
        <v>271</v>
      </c>
      <c r="G201" s="2" t="s">
        <v>272</v>
      </c>
      <c r="H201" s="2" t="s">
        <v>56</v>
      </c>
      <c r="I201" s="2" t="s">
        <v>48</v>
      </c>
      <c r="J201" s="2" t="s">
        <v>13</v>
      </c>
      <c r="L201" s="2" t="s">
        <v>502</v>
      </c>
    </row>
    <row r="202" spans="1:12" x14ac:dyDescent="0.15">
      <c r="A202" s="2" t="s">
        <v>270</v>
      </c>
      <c r="B202" s="6">
        <v>625</v>
      </c>
      <c r="C202" s="6">
        <v>40</v>
      </c>
      <c r="D202" s="7">
        <v>1.65</v>
      </c>
      <c r="E202" s="7">
        <v>0.35</v>
      </c>
      <c r="F202" s="5" t="s">
        <v>271</v>
      </c>
      <c r="G202" s="2" t="s">
        <v>272</v>
      </c>
      <c r="H202" s="2" t="s">
        <v>56</v>
      </c>
      <c r="I202" s="2" t="s">
        <v>12</v>
      </c>
      <c r="J202" s="2" t="s">
        <v>13</v>
      </c>
      <c r="L202" s="2" t="s">
        <v>502</v>
      </c>
    </row>
    <row r="203" spans="1:12" ht="14" x14ac:dyDescent="0.15">
      <c r="A203" s="2" t="s">
        <v>273</v>
      </c>
      <c r="B203" s="6">
        <v>345</v>
      </c>
      <c r="C203" s="6">
        <v>40</v>
      </c>
      <c r="D203" s="7">
        <v>0.6</v>
      </c>
      <c r="E203" s="7">
        <v>0.1</v>
      </c>
      <c r="F203" s="5" t="s">
        <v>274</v>
      </c>
      <c r="G203" s="2" t="s">
        <v>275</v>
      </c>
      <c r="H203" s="2" t="s">
        <v>11</v>
      </c>
      <c r="I203" s="2" t="s">
        <v>177</v>
      </c>
      <c r="J203" s="2" t="s">
        <v>25</v>
      </c>
      <c r="L203" s="3" t="s">
        <v>503</v>
      </c>
    </row>
    <row r="204" spans="1:12" x14ac:dyDescent="0.15">
      <c r="A204" s="2" t="s">
        <v>276</v>
      </c>
      <c r="B204" s="6">
        <v>420</v>
      </c>
      <c r="C204" s="6">
        <v>40</v>
      </c>
      <c r="D204" s="7">
        <v>1.1499999999999999</v>
      </c>
      <c r="E204" s="7">
        <v>0.15</v>
      </c>
      <c r="F204" s="5" t="s">
        <v>277</v>
      </c>
      <c r="G204" s="2" t="s">
        <v>278</v>
      </c>
      <c r="H204" s="2" t="s">
        <v>11</v>
      </c>
      <c r="I204" s="2" t="s">
        <v>12</v>
      </c>
      <c r="J204" s="2" t="s">
        <v>25</v>
      </c>
      <c r="L204" s="2" t="s">
        <v>504</v>
      </c>
    </row>
    <row r="205" spans="1:12" x14ac:dyDescent="0.15">
      <c r="A205" s="2" t="s">
        <v>276</v>
      </c>
      <c r="B205" s="6">
        <v>360</v>
      </c>
      <c r="C205" s="6">
        <v>40</v>
      </c>
      <c r="D205" s="7">
        <v>0.8</v>
      </c>
      <c r="E205" s="7">
        <v>0.1</v>
      </c>
      <c r="F205" s="5" t="s">
        <v>277</v>
      </c>
      <c r="G205" s="2" t="s">
        <v>278</v>
      </c>
      <c r="H205" s="2" t="s">
        <v>11</v>
      </c>
      <c r="I205" s="2" t="s">
        <v>12</v>
      </c>
      <c r="J205" s="2" t="s">
        <v>25</v>
      </c>
      <c r="L205" s="2" t="s">
        <v>504</v>
      </c>
    </row>
    <row r="206" spans="1:12" x14ac:dyDescent="0.15">
      <c r="A206" s="2" t="s">
        <v>98</v>
      </c>
      <c r="B206" s="6">
        <v>580</v>
      </c>
      <c r="C206" s="6">
        <v>40</v>
      </c>
      <c r="D206" s="7">
        <v>2.08</v>
      </c>
      <c r="E206" s="7">
        <v>0.2</v>
      </c>
      <c r="F206" s="5" t="s">
        <v>279</v>
      </c>
      <c r="G206" s="2" t="s">
        <v>280</v>
      </c>
      <c r="H206" s="2" t="s">
        <v>11</v>
      </c>
      <c r="I206" s="2" t="s">
        <v>12</v>
      </c>
      <c r="J206" s="2" t="s">
        <v>13</v>
      </c>
      <c r="L206" s="2" t="s">
        <v>422</v>
      </c>
    </row>
    <row r="207" spans="1:12" x14ac:dyDescent="0.15">
      <c r="A207" s="2" t="s">
        <v>281</v>
      </c>
      <c r="B207" s="6">
        <v>650</v>
      </c>
      <c r="C207" s="6">
        <v>50</v>
      </c>
      <c r="D207" s="7">
        <v>2.4</v>
      </c>
      <c r="E207" s="7">
        <v>0.1</v>
      </c>
      <c r="F207" s="5" t="s">
        <v>282</v>
      </c>
      <c r="G207" s="2" t="s">
        <v>283</v>
      </c>
      <c r="I207" s="2" t="s">
        <v>12</v>
      </c>
      <c r="J207" s="2" t="s">
        <v>17</v>
      </c>
      <c r="L207" s="2" t="s">
        <v>505</v>
      </c>
    </row>
    <row r="208" spans="1:12" x14ac:dyDescent="0.15">
      <c r="A208" s="4" t="s">
        <v>284</v>
      </c>
      <c r="B208" s="6">
        <v>505</v>
      </c>
      <c r="C208" s="6">
        <v>40</v>
      </c>
      <c r="D208" s="7">
        <v>2.4</v>
      </c>
      <c r="E208" s="7">
        <v>0.1</v>
      </c>
      <c r="F208" s="5" t="s">
        <v>282</v>
      </c>
      <c r="G208" s="2" t="s">
        <v>202</v>
      </c>
      <c r="I208" s="2" t="s">
        <v>12</v>
      </c>
      <c r="J208" s="2" t="s">
        <v>17</v>
      </c>
      <c r="L208" s="2" t="s">
        <v>506</v>
      </c>
    </row>
    <row r="209" spans="1:12" ht="14" x14ac:dyDescent="0.15">
      <c r="A209" s="2" t="s">
        <v>285</v>
      </c>
      <c r="B209" s="6">
        <v>620</v>
      </c>
      <c r="C209" s="6">
        <v>40</v>
      </c>
      <c r="D209" s="7">
        <v>2.5499999999999998</v>
      </c>
      <c r="E209" s="7">
        <v>0.25</v>
      </c>
      <c r="F209" s="5" t="s">
        <v>282</v>
      </c>
      <c r="G209" s="2" t="s">
        <v>286</v>
      </c>
      <c r="H209" s="2" t="s">
        <v>11</v>
      </c>
      <c r="I209" s="2" t="s">
        <v>12</v>
      </c>
      <c r="J209" s="2" t="s">
        <v>17</v>
      </c>
      <c r="L209" s="3" t="s">
        <v>507</v>
      </c>
    </row>
    <row r="210" spans="1:12" x14ac:dyDescent="0.15">
      <c r="A210" s="2" t="s">
        <v>287</v>
      </c>
      <c r="B210" s="6">
        <v>575</v>
      </c>
      <c r="C210" s="6">
        <v>40</v>
      </c>
      <c r="D210" s="7">
        <v>2.75</v>
      </c>
      <c r="E210" s="7">
        <v>0.25</v>
      </c>
      <c r="F210" s="5" t="s">
        <v>282</v>
      </c>
      <c r="G210" s="2" t="s">
        <v>288</v>
      </c>
      <c r="H210" s="2" t="s">
        <v>11</v>
      </c>
      <c r="I210" s="2" t="s">
        <v>12</v>
      </c>
      <c r="J210" s="2" t="s">
        <v>17</v>
      </c>
      <c r="L210" s="2" t="s">
        <v>508</v>
      </c>
    </row>
    <row r="211" spans="1:12" x14ac:dyDescent="0.15">
      <c r="A211" s="2" t="s">
        <v>289</v>
      </c>
      <c r="B211" s="6">
        <v>360</v>
      </c>
      <c r="C211" s="6">
        <v>40</v>
      </c>
      <c r="D211" s="7">
        <v>1.2</v>
      </c>
      <c r="E211" s="7">
        <v>0.1</v>
      </c>
      <c r="F211" s="5" t="s">
        <v>290</v>
      </c>
      <c r="G211" s="2" t="s">
        <v>291</v>
      </c>
      <c r="H211" s="2" t="s">
        <v>11</v>
      </c>
      <c r="I211" s="2" t="s">
        <v>12</v>
      </c>
      <c r="J211" s="2" t="s">
        <v>13</v>
      </c>
      <c r="L211" s="2" t="s">
        <v>509</v>
      </c>
    </row>
    <row r="212" spans="1:12" x14ac:dyDescent="0.15">
      <c r="A212" s="2" t="s">
        <v>289</v>
      </c>
      <c r="B212" s="6">
        <v>375</v>
      </c>
      <c r="C212" s="6">
        <v>40</v>
      </c>
      <c r="D212" s="7">
        <v>1.1499999999999999</v>
      </c>
      <c r="E212" s="7">
        <v>0.1</v>
      </c>
      <c r="F212" s="5" t="s">
        <v>290</v>
      </c>
      <c r="G212" s="2" t="s">
        <v>291</v>
      </c>
      <c r="H212" s="2" t="s">
        <v>11</v>
      </c>
      <c r="I212" s="2" t="s">
        <v>12</v>
      </c>
      <c r="J212" s="2" t="s">
        <v>13</v>
      </c>
      <c r="L212" s="2" t="s">
        <v>509</v>
      </c>
    </row>
    <row r="213" spans="1:12" x14ac:dyDescent="0.15">
      <c r="A213" s="2" t="s">
        <v>289</v>
      </c>
      <c r="B213" s="6">
        <v>400</v>
      </c>
      <c r="C213" s="6">
        <v>40</v>
      </c>
      <c r="D213" s="7">
        <v>1.3</v>
      </c>
      <c r="E213" s="7">
        <v>0.1</v>
      </c>
      <c r="F213" s="5" t="s">
        <v>290</v>
      </c>
      <c r="G213" s="2" t="s">
        <v>292</v>
      </c>
      <c r="H213" s="2" t="s">
        <v>11</v>
      </c>
      <c r="I213" s="2" t="s">
        <v>12</v>
      </c>
      <c r="J213" s="2" t="s">
        <v>13</v>
      </c>
      <c r="L213" s="2" t="s">
        <v>509</v>
      </c>
    </row>
    <row r="214" spans="1:12" x14ac:dyDescent="0.15">
      <c r="A214" s="2" t="s">
        <v>289</v>
      </c>
      <c r="B214" s="6">
        <v>350</v>
      </c>
      <c r="C214" s="6">
        <v>40</v>
      </c>
      <c r="D214" s="7">
        <v>1.6</v>
      </c>
      <c r="E214" s="7">
        <v>0.1</v>
      </c>
      <c r="F214" s="5" t="s">
        <v>290</v>
      </c>
      <c r="G214" s="2" t="s">
        <v>293</v>
      </c>
      <c r="H214" s="2" t="s">
        <v>11</v>
      </c>
      <c r="I214" s="2" t="s">
        <v>12</v>
      </c>
      <c r="J214" s="2" t="s">
        <v>13</v>
      </c>
      <c r="L214" s="2" t="s">
        <v>509</v>
      </c>
    </row>
    <row r="215" spans="1:12" ht="14" x14ac:dyDescent="0.15">
      <c r="A215" s="2" t="s">
        <v>294</v>
      </c>
      <c r="B215" s="6">
        <v>490</v>
      </c>
      <c r="C215" s="6">
        <v>40</v>
      </c>
      <c r="D215" s="7">
        <v>1.3</v>
      </c>
      <c r="E215" s="7">
        <v>0.1</v>
      </c>
      <c r="F215" s="5" t="s">
        <v>295</v>
      </c>
      <c r="G215" s="2" t="s">
        <v>296</v>
      </c>
      <c r="H215" s="2" t="s">
        <v>297</v>
      </c>
      <c r="I215" s="2" t="s">
        <v>12</v>
      </c>
      <c r="J215" s="2" t="s">
        <v>558</v>
      </c>
      <c r="L215" s="3" t="s">
        <v>510</v>
      </c>
    </row>
    <row r="216" spans="1:12" x14ac:dyDescent="0.15">
      <c r="A216" s="4" t="s">
        <v>298</v>
      </c>
      <c r="B216" s="6">
        <v>451</v>
      </c>
      <c r="C216" s="6">
        <v>40</v>
      </c>
      <c r="D216" s="7">
        <v>1.24</v>
      </c>
      <c r="E216" s="7">
        <v>0.1</v>
      </c>
      <c r="F216" s="5" t="s">
        <v>295</v>
      </c>
      <c r="G216" s="2" t="s">
        <v>299</v>
      </c>
      <c r="H216" s="2" t="s">
        <v>11</v>
      </c>
      <c r="I216" s="2" t="s">
        <v>12</v>
      </c>
      <c r="J216" s="2" t="s">
        <v>13</v>
      </c>
      <c r="L216" s="2" t="s">
        <v>511</v>
      </c>
    </row>
    <row r="217" spans="1:12" ht="14" x14ac:dyDescent="0.15">
      <c r="A217" s="4" t="s">
        <v>300</v>
      </c>
      <c r="B217" s="6">
        <v>540</v>
      </c>
      <c r="C217" s="6">
        <v>40</v>
      </c>
      <c r="D217" s="7">
        <v>2.2999999999999998</v>
      </c>
      <c r="E217" s="7">
        <v>0.1</v>
      </c>
      <c r="F217" s="5" t="s">
        <v>295</v>
      </c>
      <c r="G217" s="2" t="s">
        <v>286</v>
      </c>
      <c r="H217" s="2" t="s">
        <v>11</v>
      </c>
      <c r="I217" s="2" t="s">
        <v>12</v>
      </c>
      <c r="J217" s="2" t="s">
        <v>13</v>
      </c>
      <c r="L217" s="3" t="s">
        <v>512</v>
      </c>
    </row>
    <row r="218" spans="1:12" x14ac:dyDescent="0.15">
      <c r="A218" s="4" t="s">
        <v>298</v>
      </c>
      <c r="B218" s="6">
        <v>591</v>
      </c>
      <c r="C218" s="6">
        <v>40</v>
      </c>
      <c r="D218" s="7">
        <v>1.82</v>
      </c>
      <c r="E218" s="7">
        <v>0.1</v>
      </c>
      <c r="F218" s="5" t="s">
        <v>295</v>
      </c>
      <c r="G218" s="2" t="s">
        <v>286</v>
      </c>
      <c r="H218" s="2" t="s">
        <v>11</v>
      </c>
      <c r="I218" s="2" t="s">
        <v>12</v>
      </c>
      <c r="J218" s="2" t="s">
        <v>13</v>
      </c>
      <c r="L218" s="2" t="s">
        <v>511</v>
      </c>
    </row>
    <row r="219" spans="1:12" ht="14" x14ac:dyDescent="0.15">
      <c r="A219" s="2" t="s">
        <v>301</v>
      </c>
      <c r="B219" s="6">
        <v>540</v>
      </c>
      <c r="C219" s="6">
        <v>40</v>
      </c>
      <c r="D219" s="7">
        <v>1.625</v>
      </c>
      <c r="E219" s="7">
        <v>0.125</v>
      </c>
      <c r="F219" s="5" t="s">
        <v>302</v>
      </c>
      <c r="G219" s="3" t="s">
        <v>303</v>
      </c>
      <c r="H219" s="2" t="s">
        <v>11</v>
      </c>
      <c r="I219" s="2" t="s">
        <v>177</v>
      </c>
      <c r="J219" s="2" t="s">
        <v>17</v>
      </c>
      <c r="L219" s="3" t="s">
        <v>513</v>
      </c>
    </row>
    <row r="220" spans="1:12" x14ac:dyDescent="0.15">
      <c r="A220" s="2" t="s">
        <v>304</v>
      </c>
      <c r="B220" s="6">
        <v>550</v>
      </c>
      <c r="C220" s="6">
        <v>40</v>
      </c>
      <c r="D220" s="7">
        <v>1.3</v>
      </c>
      <c r="E220" s="7">
        <v>0.1</v>
      </c>
      <c r="F220" s="5" t="s">
        <v>302</v>
      </c>
      <c r="G220" s="2" t="s">
        <v>305</v>
      </c>
      <c r="H220" s="2" t="s">
        <v>11</v>
      </c>
      <c r="I220" s="2" t="s">
        <v>12</v>
      </c>
      <c r="J220" s="2" t="s">
        <v>17</v>
      </c>
      <c r="L220" s="2" t="s">
        <v>514</v>
      </c>
    </row>
    <row r="221" spans="1:12" x14ac:dyDescent="0.15">
      <c r="A221" s="2" t="s">
        <v>304</v>
      </c>
      <c r="B221" s="6">
        <v>560</v>
      </c>
      <c r="C221" s="6">
        <v>40</v>
      </c>
      <c r="D221" s="7">
        <v>1.05</v>
      </c>
      <c r="E221" s="7">
        <v>0.1</v>
      </c>
      <c r="F221" s="5" t="s">
        <v>302</v>
      </c>
      <c r="G221" s="2" t="s">
        <v>305</v>
      </c>
      <c r="H221" s="2" t="s">
        <v>11</v>
      </c>
      <c r="I221" s="2" t="s">
        <v>12</v>
      </c>
      <c r="J221" s="2" t="s">
        <v>17</v>
      </c>
      <c r="L221" s="2" t="s">
        <v>514</v>
      </c>
    </row>
    <row r="222" spans="1:12" x14ac:dyDescent="0.15">
      <c r="A222" s="2" t="s">
        <v>304</v>
      </c>
      <c r="B222" s="6">
        <v>530</v>
      </c>
      <c r="C222" s="6">
        <v>40</v>
      </c>
      <c r="D222" s="7">
        <v>1.1000000000000001</v>
      </c>
      <c r="E222" s="7">
        <v>0.1</v>
      </c>
      <c r="F222" s="5" t="s">
        <v>302</v>
      </c>
      <c r="G222" s="2" t="s">
        <v>305</v>
      </c>
      <c r="H222" s="2" t="s">
        <v>11</v>
      </c>
      <c r="I222" s="2" t="s">
        <v>12</v>
      </c>
      <c r="J222" s="2" t="s">
        <v>17</v>
      </c>
      <c r="L222" s="2" t="s">
        <v>514</v>
      </c>
    </row>
    <row r="223" spans="1:12" x14ac:dyDescent="0.15">
      <c r="A223" s="2" t="s">
        <v>306</v>
      </c>
      <c r="B223" s="6">
        <v>490</v>
      </c>
      <c r="C223" s="6">
        <v>40</v>
      </c>
      <c r="D223" s="7">
        <v>1.1000000000000001</v>
      </c>
      <c r="E223" s="7">
        <v>0.1</v>
      </c>
      <c r="F223" s="5" t="s">
        <v>302</v>
      </c>
      <c r="G223" s="2" t="s">
        <v>307</v>
      </c>
      <c r="H223" s="2" t="s">
        <v>11</v>
      </c>
      <c r="I223" s="2" t="s">
        <v>48</v>
      </c>
      <c r="J223" s="2" t="s">
        <v>25</v>
      </c>
      <c r="L223" s="2" t="s">
        <v>515</v>
      </c>
    </row>
    <row r="224" spans="1:12" x14ac:dyDescent="0.15">
      <c r="A224" s="2" t="s">
        <v>308</v>
      </c>
      <c r="B224" s="6">
        <v>360</v>
      </c>
      <c r="C224" s="6">
        <v>40</v>
      </c>
      <c r="D224" s="7">
        <v>0.8</v>
      </c>
      <c r="E224" s="7">
        <v>0.1</v>
      </c>
      <c r="F224" s="5" t="s">
        <v>309</v>
      </c>
      <c r="G224" s="2" t="s">
        <v>310</v>
      </c>
      <c r="H224" s="2" t="s">
        <v>11</v>
      </c>
      <c r="I224" s="2" t="s">
        <v>12</v>
      </c>
      <c r="J224" s="2" t="s">
        <v>17</v>
      </c>
      <c r="L224" s="2" t="s">
        <v>516</v>
      </c>
    </row>
    <row r="225" spans="1:12" ht="14" x14ac:dyDescent="0.15">
      <c r="A225" s="2" t="s">
        <v>311</v>
      </c>
      <c r="B225" s="6">
        <v>440</v>
      </c>
      <c r="C225" s="6">
        <v>50</v>
      </c>
      <c r="D225" s="7">
        <v>1.05</v>
      </c>
      <c r="E225" s="7">
        <v>0.17</v>
      </c>
      <c r="F225" s="5" t="s">
        <v>309</v>
      </c>
      <c r="G225" s="2" t="s">
        <v>312</v>
      </c>
      <c r="H225" s="2" t="s">
        <v>11</v>
      </c>
      <c r="I225" s="2" t="s">
        <v>12</v>
      </c>
      <c r="J225" s="2" t="s">
        <v>25</v>
      </c>
      <c r="L225" s="3" t="s">
        <v>517</v>
      </c>
    </row>
    <row r="226" spans="1:12" x14ac:dyDescent="0.15">
      <c r="A226" s="2" t="s">
        <v>311</v>
      </c>
      <c r="B226" s="6">
        <v>400</v>
      </c>
      <c r="C226" s="6">
        <v>50</v>
      </c>
      <c r="D226" s="7">
        <v>0.94</v>
      </c>
      <c r="E226" s="7">
        <v>0.1</v>
      </c>
      <c r="F226" s="5" t="s">
        <v>309</v>
      </c>
      <c r="G226" s="2" t="s">
        <v>312</v>
      </c>
      <c r="H226" s="2" t="s">
        <v>11</v>
      </c>
      <c r="I226" s="2" t="s">
        <v>12</v>
      </c>
      <c r="J226" s="2" t="s">
        <v>25</v>
      </c>
      <c r="L226" s="2" t="s">
        <v>517</v>
      </c>
    </row>
    <row r="227" spans="1:12" x14ac:dyDescent="0.15">
      <c r="A227" s="2" t="s">
        <v>311</v>
      </c>
      <c r="B227" s="6">
        <v>450</v>
      </c>
      <c r="C227" s="6">
        <v>50</v>
      </c>
      <c r="D227" s="7">
        <v>1.1299999999999999</v>
      </c>
      <c r="E227" s="7">
        <v>0.1</v>
      </c>
      <c r="F227" s="5" t="s">
        <v>309</v>
      </c>
      <c r="G227" s="2" t="s">
        <v>312</v>
      </c>
      <c r="H227" s="2" t="s">
        <v>11</v>
      </c>
      <c r="I227" s="2" t="s">
        <v>12</v>
      </c>
      <c r="J227" s="2" t="s">
        <v>25</v>
      </c>
      <c r="L227" s="2" t="s">
        <v>517</v>
      </c>
    </row>
    <row r="228" spans="1:12" x14ac:dyDescent="0.15">
      <c r="A228" s="2" t="s">
        <v>311</v>
      </c>
      <c r="B228" s="6">
        <v>375</v>
      </c>
      <c r="C228" s="6">
        <v>60</v>
      </c>
      <c r="D228" s="7">
        <v>1.1000000000000001</v>
      </c>
      <c r="E228" s="7">
        <v>0.4</v>
      </c>
      <c r="F228" s="5" t="s">
        <v>309</v>
      </c>
      <c r="G228" s="2" t="s">
        <v>312</v>
      </c>
      <c r="H228" s="2" t="s">
        <v>11</v>
      </c>
      <c r="I228" s="2" t="s">
        <v>12</v>
      </c>
      <c r="J228" s="2" t="s">
        <v>25</v>
      </c>
      <c r="L228" s="2" t="s">
        <v>517</v>
      </c>
    </row>
    <row r="229" spans="1:12" x14ac:dyDescent="0.15">
      <c r="A229" s="5" t="s">
        <v>313</v>
      </c>
      <c r="B229" s="6">
        <v>625</v>
      </c>
      <c r="C229" s="6">
        <v>75</v>
      </c>
      <c r="D229" s="7">
        <v>2</v>
      </c>
      <c r="E229" s="7">
        <v>0.4</v>
      </c>
      <c r="F229" s="5" t="s">
        <v>309</v>
      </c>
      <c r="G229" s="2" t="s">
        <v>314</v>
      </c>
      <c r="H229" s="2" t="s">
        <v>11</v>
      </c>
      <c r="I229" s="2" t="s">
        <v>177</v>
      </c>
      <c r="J229" s="2" t="s">
        <v>17</v>
      </c>
      <c r="L229" s="2" t="s">
        <v>518</v>
      </c>
    </row>
    <row r="230" spans="1:12" x14ac:dyDescent="0.15">
      <c r="A230" s="2" t="s">
        <v>315</v>
      </c>
      <c r="B230" s="6">
        <v>520</v>
      </c>
      <c r="C230" s="6">
        <v>50</v>
      </c>
      <c r="D230" s="7">
        <v>1.1000000000000001</v>
      </c>
      <c r="E230" s="7">
        <v>0.1</v>
      </c>
      <c r="F230" s="5" t="s">
        <v>309</v>
      </c>
      <c r="G230" s="2" t="s">
        <v>316</v>
      </c>
      <c r="H230" s="2" t="s">
        <v>11</v>
      </c>
      <c r="I230" s="2" t="s">
        <v>12</v>
      </c>
      <c r="J230" s="2" t="s">
        <v>17</v>
      </c>
      <c r="L230" s="2" t="s">
        <v>519</v>
      </c>
    </row>
    <row r="231" spans="1:12" x14ac:dyDescent="0.15">
      <c r="A231" s="2" t="s">
        <v>317</v>
      </c>
      <c r="B231" s="6">
        <v>370</v>
      </c>
      <c r="C231" s="6">
        <v>40</v>
      </c>
      <c r="D231" s="7">
        <v>0.99</v>
      </c>
      <c r="E231" s="7">
        <v>0.1</v>
      </c>
      <c r="F231" s="5" t="s">
        <v>309</v>
      </c>
      <c r="G231" s="2" t="s">
        <v>318</v>
      </c>
      <c r="H231" s="2" t="s">
        <v>11</v>
      </c>
      <c r="I231" s="2" t="s">
        <v>12</v>
      </c>
      <c r="J231" s="2" t="s">
        <v>13</v>
      </c>
      <c r="L231" s="2" t="s">
        <v>520</v>
      </c>
    </row>
    <row r="232" spans="1:12" x14ac:dyDescent="0.15">
      <c r="A232" s="2" t="s">
        <v>317</v>
      </c>
      <c r="B232" s="6">
        <v>486</v>
      </c>
      <c r="C232" s="6">
        <v>40</v>
      </c>
      <c r="D232" s="7">
        <v>1.37</v>
      </c>
      <c r="E232" s="7">
        <v>0.1</v>
      </c>
      <c r="F232" s="5" t="s">
        <v>309</v>
      </c>
      <c r="G232" s="2" t="s">
        <v>318</v>
      </c>
      <c r="H232" s="2" t="s">
        <v>11</v>
      </c>
      <c r="I232" s="2" t="s">
        <v>12</v>
      </c>
      <c r="J232" s="2" t="s">
        <v>13</v>
      </c>
      <c r="L232" s="2" t="s">
        <v>520</v>
      </c>
    </row>
    <row r="233" spans="1:12" x14ac:dyDescent="0.15">
      <c r="A233" s="2" t="s">
        <v>317</v>
      </c>
      <c r="B233" s="6">
        <v>325</v>
      </c>
      <c r="C233" s="6">
        <v>40</v>
      </c>
      <c r="D233" s="7">
        <v>1.018</v>
      </c>
      <c r="E233" s="7">
        <v>0.1</v>
      </c>
      <c r="F233" s="5" t="s">
        <v>309</v>
      </c>
      <c r="G233" s="2" t="s">
        <v>318</v>
      </c>
      <c r="H233" s="2" t="s">
        <v>11</v>
      </c>
      <c r="I233" s="2" t="s">
        <v>12</v>
      </c>
      <c r="J233" s="2" t="s">
        <v>13</v>
      </c>
      <c r="L233" s="2" t="s">
        <v>520</v>
      </c>
    </row>
    <row r="234" spans="1:12" x14ac:dyDescent="0.15">
      <c r="A234" s="2" t="s">
        <v>317</v>
      </c>
      <c r="B234" s="6">
        <v>405.7</v>
      </c>
      <c r="C234" s="6">
        <v>40</v>
      </c>
      <c r="D234" s="7">
        <v>0.875</v>
      </c>
      <c r="E234" s="7">
        <v>0.1</v>
      </c>
      <c r="F234" s="5" t="s">
        <v>309</v>
      </c>
      <c r="G234" s="2" t="s">
        <v>318</v>
      </c>
      <c r="H234" s="2" t="s">
        <v>11</v>
      </c>
      <c r="I234" s="2" t="s">
        <v>12</v>
      </c>
      <c r="J234" s="2" t="s">
        <v>13</v>
      </c>
      <c r="L234" s="2" t="s">
        <v>520</v>
      </c>
    </row>
    <row r="235" spans="1:12" x14ac:dyDescent="0.15">
      <c r="A235" s="2" t="s">
        <v>317</v>
      </c>
      <c r="B235" s="6">
        <v>315.7</v>
      </c>
      <c r="C235" s="6">
        <v>40</v>
      </c>
      <c r="D235" s="7">
        <v>1.0471999999999999</v>
      </c>
      <c r="E235" s="7">
        <v>0.1</v>
      </c>
      <c r="F235" s="5" t="s">
        <v>309</v>
      </c>
      <c r="G235" s="2" t="s">
        <v>318</v>
      </c>
      <c r="H235" s="2" t="s">
        <v>11</v>
      </c>
      <c r="I235" s="2" t="s">
        <v>12</v>
      </c>
      <c r="J235" s="2" t="s">
        <v>13</v>
      </c>
      <c r="L235" s="2" t="s">
        <v>520</v>
      </c>
    </row>
    <row r="236" spans="1:12" x14ac:dyDescent="0.15">
      <c r="A236" s="2" t="s">
        <v>317</v>
      </c>
      <c r="B236" s="6">
        <v>390.6</v>
      </c>
      <c r="C236" s="6">
        <v>40</v>
      </c>
      <c r="D236" s="7">
        <v>1.0591999999999999</v>
      </c>
      <c r="E236" s="7">
        <v>0.1</v>
      </c>
      <c r="F236" s="5" t="s">
        <v>309</v>
      </c>
      <c r="G236" s="2" t="s">
        <v>318</v>
      </c>
      <c r="H236" s="2" t="s">
        <v>11</v>
      </c>
      <c r="I236" s="2" t="s">
        <v>12</v>
      </c>
      <c r="J236" s="2" t="s">
        <v>13</v>
      </c>
      <c r="L236" s="2" t="s">
        <v>520</v>
      </c>
    </row>
    <row r="237" spans="1:12" x14ac:dyDescent="0.15">
      <c r="A237" s="2" t="s">
        <v>319</v>
      </c>
      <c r="B237" s="6">
        <v>450</v>
      </c>
      <c r="C237" s="6">
        <v>50</v>
      </c>
      <c r="D237" s="7">
        <v>1.1000000000000001</v>
      </c>
      <c r="E237" s="7">
        <v>0.2</v>
      </c>
      <c r="F237" s="5" t="s">
        <v>309</v>
      </c>
      <c r="G237" s="2" t="s">
        <v>320</v>
      </c>
      <c r="H237" s="2" t="s">
        <v>11</v>
      </c>
      <c r="I237" s="2" t="s">
        <v>12</v>
      </c>
      <c r="J237" s="2" t="s">
        <v>25</v>
      </c>
      <c r="L237" s="2" t="s">
        <v>521</v>
      </c>
    </row>
    <row r="238" spans="1:12" x14ac:dyDescent="0.15">
      <c r="A238" s="2" t="s">
        <v>321</v>
      </c>
      <c r="B238" s="6">
        <v>430</v>
      </c>
      <c r="C238" s="6">
        <v>40</v>
      </c>
      <c r="D238" s="7">
        <v>2.4</v>
      </c>
      <c r="E238" s="7">
        <v>0.3</v>
      </c>
      <c r="F238" s="5" t="s">
        <v>309</v>
      </c>
      <c r="G238" s="2" t="s">
        <v>320</v>
      </c>
      <c r="H238" s="2" t="s">
        <v>11</v>
      </c>
      <c r="I238" s="2" t="s">
        <v>12</v>
      </c>
      <c r="J238" s="2" t="s">
        <v>25</v>
      </c>
      <c r="L238" s="2" t="s">
        <v>521</v>
      </c>
    </row>
    <row r="239" spans="1:12" x14ac:dyDescent="0.15">
      <c r="A239" s="2" t="s">
        <v>322</v>
      </c>
      <c r="B239" s="6">
        <v>460</v>
      </c>
      <c r="C239" s="6">
        <v>40</v>
      </c>
      <c r="D239" s="7">
        <v>2.4</v>
      </c>
      <c r="E239" s="7">
        <v>0.1</v>
      </c>
      <c r="F239" s="5" t="s">
        <v>309</v>
      </c>
      <c r="G239" s="2" t="s">
        <v>323</v>
      </c>
      <c r="H239" s="2" t="s">
        <v>11</v>
      </c>
      <c r="I239" s="2" t="s">
        <v>12</v>
      </c>
      <c r="J239" s="2" t="s">
        <v>559</v>
      </c>
      <c r="L239" s="2" t="s">
        <v>522</v>
      </c>
    </row>
    <row r="240" spans="1:12" ht="14" x14ac:dyDescent="0.15">
      <c r="A240" s="2" t="s">
        <v>324</v>
      </c>
      <c r="B240" s="6">
        <v>500</v>
      </c>
      <c r="C240" s="6">
        <v>40</v>
      </c>
      <c r="D240" s="7">
        <v>1.6</v>
      </c>
      <c r="E240" s="7">
        <v>0.1</v>
      </c>
      <c r="F240" s="5" t="s">
        <v>309</v>
      </c>
      <c r="G240" s="2" t="s">
        <v>323</v>
      </c>
      <c r="H240" s="2" t="s">
        <v>11</v>
      </c>
      <c r="I240" s="2" t="s">
        <v>12</v>
      </c>
      <c r="J240" s="2" t="s">
        <v>17</v>
      </c>
      <c r="L240" s="3" t="s">
        <v>523</v>
      </c>
    </row>
    <row r="241" spans="1:12" x14ac:dyDescent="0.15">
      <c r="A241" s="2" t="s">
        <v>324</v>
      </c>
      <c r="B241" s="6">
        <v>510</v>
      </c>
      <c r="C241" s="6">
        <v>40</v>
      </c>
      <c r="D241" s="7">
        <v>2.25</v>
      </c>
      <c r="E241" s="7">
        <v>0.15</v>
      </c>
      <c r="F241" s="5" t="s">
        <v>309</v>
      </c>
      <c r="G241" s="2" t="s">
        <v>323</v>
      </c>
      <c r="H241" s="2" t="s">
        <v>11</v>
      </c>
      <c r="I241" s="2" t="s">
        <v>12</v>
      </c>
      <c r="J241" s="2" t="s">
        <v>17</v>
      </c>
      <c r="L241" s="2" t="s">
        <v>523</v>
      </c>
    </row>
    <row r="242" spans="1:12" x14ac:dyDescent="0.15">
      <c r="A242" s="2" t="s">
        <v>324</v>
      </c>
      <c r="B242" s="6">
        <v>480</v>
      </c>
      <c r="C242" s="6">
        <v>40</v>
      </c>
      <c r="D242" s="7">
        <v>1.55</v>
      </c>
      <c r="E242" s="7">
        <v>0.1</v>
      </c>
      <c r="F242" s="5" t="s">
        <v>309</v>
      </c>
      <c r="G242" s="2" t="s">
        <v>323</v>
      </c>
      <c r="H242" s="2" t="s">
        <v>11</v>
      </c>
      <c r="I242" s="2" t="s">
        <v>12</v>
      </c>
      <c r="J242" s="2" t="s">
        <v>17</v>
      </c>
      <c r="L242" s="2" t="s">
        <v>523</v>
      </c>
    </row>
    <row r="243" spans="1:12" x14ac:dyDescent="0.15">
      <c r="A243" s="2" t="s">
        <v>324</v>
      </c>
      <c r="B243" s="6">
        <v>570</v>
      </c>
      <c r="C243" s="6">
        <v>40</v>
      </c>
      <c r="D243" s="7">
        <v>1.7</v>
      </c>
      <c r="E243" s="7">
        <v>0.2</v>
      </c>
      <c r="F243" s="5" t="s">
        <v>309</v>
      </c>
      <c r="G243" s="2" t="s">
        <v>323</v>
      </c>
      <c r="H243" s="2" t="s">
        <v>11</v>
      </c>
      <c r="I243" s="2" t="s">
        <v>12</v>
      </c>
      <c r="J243" s="2" t="s">
        <v>17</v>
      </c>
      <c r="L243" s="2" t="s">
        <v>523</v>
      </c>
    </row>
    <row r="244" spans="1:12" x14ac:dyDescent="0.15">
      <c r="A244" s="2" t="s">
        <v>324</v>
      </c>
      <c r="B244" s="6">
        <v>360</v>
      </c>
      <c r="C244" s="6">
        <v>40</v>
      </c>
      <c r="D244" s="7">
        <v>1.1000000000000001</v>
      </c>
      <c r="E244" s="7">
        <v>0.1</v>
      </c>
      <c r="F244" s="5" t="s">
        <v>309</v>
      </c>
      <c r="G244" s="2" t="s">
        <v>323</v>
      </c>
      <c r="H244" s="2" t="s">
        <v>11</v>
      </c>
      <c r="I244" s="2" t="s">
        <v>12</v>
      </c>
      <c r="J244" s="2" t="s">
        <v>17</v>
      </c>
      <c r="L244" s="2" t="s">
        <v>523</v>
      </c>
    </row>
    <row r="245" spans="1:12" x14ac:dyDescent="0.15">
      <c r="A245" s="2" t="s">
        <v>325</v>
      </c>
      <c r="B245" s="6">
        <v>422</v>
      </c>
      <c r="C245" s="6">
        <v>40</v>
      </c>
      <c r="D245" s="7">
        <v>2.15</v>
      </c>
      <c r="E245" s="7">
        <v>0.1</v>
      </c>
      <c r="F245" s="5" t="s">
        <v>309</v>
      </c>
      <c r="G245" s="2" t="s">
        <v>323</v>
      </c>
      <c r="H245" s="2" t="s">
        <v>11</v>
      </c>
      <c r="I245" s="2" t="s">
        <v>12</v>
      </c>
      <c r="J245" s="2" t="s">
        <v>17</v>
      </c>
      <c r="L245" s="2" t="s">
        <v>524</v>
      </c>
    </row>
    <row r="246" spans="1:12" x14ac:dyDescent="0.15">
      <c r="A246" s="2" t="s">
        <v>325</v>
      </c>
      <c r="B246" s="6">
        <v>555</v>
      </c>
      <c r="C246" s="6">
        <v>40</v>
      </c>
      <c r="D246" s="7">
        <v>2.25</v>
      </c>
      <c r="E246" s="7">
        <v>0.15</v>
      </c>
      <c r="F246" s="5" t="s">
        <v>309</v>
      </c>
      <c r="G246" s="2" t="s">
        <v>323</v>
      </c>
      <c r="H246" s="2" t="s">
        <v>11</v>
      </c>
      <c r="I246" s="2" t="s">
        <v>12</v>
      </c>
      <c r="J246" s="2" t="s">
        <v>17</v>
      </c>
      <c r="L246" s="2" t="s">
        <v>524</v>
      </c>
    </row>
    <row r="247" spans="1:12" x14ac:dyDescent="0.15">
      <c r="A247" s="2" t="s">
        <v>326</v>
      </c>
      <c r="B247" s="6">
        <v>300</v>
      </c>
      <c r="C247" s="6">
        <v>50</v>
      </c>
      <c r="D247" s="7">
        <v>1.2</v>
      </c>
      <c r="E247" s="7">
        <v>0.1</v>
      </c>
      <c r="F247" s="5" t="s">
        <v>309</v>
      </c>
      <c r="G247" s="2" t="s">
        <v>327</v>
      </c>
      <c r="H247" s="2" t="s">
        <v>11</v>
      </c>
      <c r="I247" s="2" t="s">
        <v>12</v>
      </c>
      <c r="J247" s="2" t="s">
        <v>17</v>
      </c>
      <c r="L247" s="2" t="s">
        <v>525</v>
      </c>
    </row>
    <row r="248" spans="1:12" x14ac:dyDescent="0.15">
      <c r="A248" s="2" t="s">
        <v>328</v>
      </c>
      <c r="B248" s="6">
        <v>200</v>
      </c>
      <c r="C248" s="6">
        <v>50</v>
      </c>
      <c r="D248" s="7">
        <v>0.55000000000000004</v>
      </c>
      <c r="E248" s="7">
        <v>0.1</v>
      </c>
      <c r="F248" s="5" t="s">
        <v>309</v>
      </c>
      <c r="G248" s="2" t="s">
        <v>327</v>
      </c>
      <c r="H248" s="2" t="s">
        <v>11</v>
      </c>
      <c r="I248" s="2" t="s">
        <v>12</v>
      </c>
      <c r="J248" s="2" t="s">
        <v>22</v>
      </c>
      <c r="L248" s="2" t="s">
        <v>526</v>
      </c>
    </row>
    <row r="249" spans="1:12" x14ac:dyDescent="0.15">
      <c r="A249" s="2" t="s">
        <v>329</v>
      </c>
      <c r="B249" s="6">
        <v>290</v>
      </c>
      <c r="C249" s="6">
        <v>40</v>
      </c>
      <c r="D249" s="7">
        <v>0.8</v>
      </c>
      <c r="E249" s="7">
        <v>0.1</v>
      </c>
      <c r="F249" s="5" t="s">
        <v>309</v>
      </c>
      <c r="G249" s="2" t="s">
        <v>330</v>
      </c>
      <c r="H249" s="2" t="s">
        <v>11</v>
      </c>
      <c r="I249" s="2" t="s">
        <v>12</v>
      </c>
      <c r="J249" s="2" t="s">
        <v>25</v>
      </c>
      <c r="L249" s="2" t="s">
        <v>526</v>
      </c>
    </row>
    <row r="250" spans="1:12" x14ac:dyDescent="0.15">
      <c r="A250" s="2" t="s">
        <v>329</v>
      </c>
      <c r="B250" s="6">
        <v>320</v>
      </c>
      <c r="C250" s="6">
        <v>40</v>
      </c>
      <c r="D250" s="7">
        <v>0.72</v>
      </c>
      <c r="E250" s="7">
        <v>0.1</v>
      </c>
      <c r="F250" s="5" t="s">
        <v>309</v>
      </c>
      <c r="G250" s="2" t="s">
        <v>330</v>
      </c>
      <c r="H250" s="2" t="s">
        <v>11</v>
      </c>
      <c r="I250" s="2" t="s">
        <v>12</v>
      </c>
      <c r="J250" s="2" t="s">
        <v>25</v>
      </c>
      <c r="L250" s="2" t="s">
        <v>526</v>
      </c>
    </row>
    <row r="251" spans="1:12" x14ac:dyDescent="0.15">
      <c r="A251" s="2" t="s">
        <v>331</v>
      </c>
      <c r="B251" s="6">
        <v>425</v>
      </c>
      <c r="C251" s="6">
        <v>40</v>
      </c>
      <c r="D251" s="7">
        <v>1.2</v>
      </c>
      <c r="E251" s="7">
        <v>0.15</v>
      </c>
      <c r="F251" s="5" t="s">
        <v>309</v>
      </c>
      <c r="G251" s="2" t="s">
        <v>332</v>
      </c>
      <c r="H251" s="2" t="s">
        <v>11</v>
      </c>
      <c r="I251" s="2" t="s">
        <v>12</v>
      </c>
      <c r="J251" s="2" t="s">
        <v>17</v>
      </c>
      <c r="L251" s="2" t="s">
        <v>527</v>
      </c>
    </row>
    <row r="252" spans="1:12" ht="14" x14ac:dyDescent="0.15">
      <c r="A252" s="2" t="s">
        <v>333</v>
      </c>
      <c r="B252" s="6">
        <f>(415-325)/2+325</f>
        <v>370</v>
      </c>
      <c r="C252" s="6">
        <v>45</v>
      </c>
      <c r="D252" s="7">
        <v>0.65</v>
      </c>
      <c r="E252" s="7">
        <v>0.15</v>
      </c>
      <c r="F252" s="5" t="s">
        <v>334</v>
      </c>
      <c r="G252" s="2" t="s">
        <v>335</v>
      </c>
      <c r="H252" s="2" t="s">
        <v>77</v>
      </c>
      <c r="I252" s="2" t="s">
        <v>12</v>
      </c>
      <c r="J252" s="2" t="s">
        <v>22</v>
      </c>
      <c r="L252" s="3" t="s">
        <v>528</v>
      </c>
    </row>
    <row r="253" spans="1:12" x14ac:dyDescent="0.15">
      <c r="A253" s="2" t="s">
        <v>333</v>
      </c>
      <c r="B253" s="6">
        <f>(430-375)/2+375</f>
        <v>402.5</v>
      </c>
      <c r="C253" s="6">
        <v>40</v>
      </c>
      <c r="D253" s="7">
        <v>1.05</v>
      </c>
      <c r="E253" s="7">
        <v>0.15</v>
      </c>
      <c r="F253" s="5" t="s">
        <v>334</v>
      </c>
      <c r="G253" s="2" t="s">
        <v>336</v>
      </c>
      <c r="H253" s="2" t="s">
        <v>77</v>
      </c>
      <c r="I253" s="2" t="s">
        <v>12</v>
      </c>
      <c r="J253" s="2" t="s">
        <v>22</v>
      </c>
      <c r="L253" s="2" t="s">
        <v>528</v>
      </c>
    </row>
    <row r="254" spans="1:12" x14ac:dyDescent="0.15">
      <c r="A254" s="2" t="s">
        <v>337</v>
      </c>
      <c r="B254" s="5">
        <v>250</v>
      </c>
      <c r="C254" s="5">
        <v>75</v>
      </c>
      <c r="D254" s="5">
        <v>0.35</v>
      </c>
      <c r="E254" s="5">
        <v>0.15</v>
      </c>
      <c r="F254" s="5" t="s">
        <v>334</v>
      </c>
      <c r="G254" s="2" t="s">
        <v>338</v>
      </c>
      <c r="H254" s="2" t="s">
        <v>83</v>
      </c>
      <c r="I254" s="2" t="s">
        <v>12</v>
      </c>
      <c r="J254" s="2" t="s">
        <v>22</v>
      </c>
      <c r="L254" s="2" t="s">
        <v>529</v>
      </c>
    </row>
    <row r="255" spans="1:12" x14ac:dyDescent="0.15">
      <c r="A255" s="2" t="s">
        <v>337</v>
      </c>
      <c r="B255" s="5">
        <v>275</v>
      </c>
      <c r="C255" s="5">
        <v>50</v>
      </c>
      <c r="D255" s="5">
        <v>0.9</v>
      </c>
      <c r="E255" s="5">
        <v>0.2</v>
      </c>
      <c r="F255" s="5" t="s">
        <v>334</v>
      </c>
      <c r="G255" s="2" t="s">
        <v>338</v>
      </c>
      <c r="H255" s="2" t="s">
        <v>83</v>
      </c>
      <c r="I255" s="2" t="s">
        <v>12</v>
      </c>
      <c r="J255" s="2" t="s">
        <v>22</v>
      </c>
      <c r="L255" s="2" t="s">
        <v>529</v>
      </c>
    </row>
    <row r="256" spans="1:12" x14ac:dyDescent="0.15">
      <c r="A256" s="2" t="s">
        <v>337</v>
      </c>
      <c r="B256" s="5">
        <v>450</v>
      </c>
      <c r="C256" s="5">
        <v>50</v>
      </c>
      <c r="D256" s="5">
        <v>1.1000000000000001</v>
      </c>
      <c r="E256" s="5">
        <v>0.2</v>
      </c>
      <c r="F256" s="5" t="s">
        <v>334</v>
      </c>
      <c r="G256" s="2" t="s">
        <v>338</v>
      </c>
      <c r="H256" s="2" t="s">
        <v>83</v>
      </c>
      <c r="I256" s="2" t="s">
        <v>12</v>
      </c>
      <c r="J256" s="2" t="s">
        <v>22</v>
      </c>
      <c r="L256" s="2" t="s">
        <v>529</v>
      </c>
    </row>
    <row r="257" spans="1:12" x14ac:dyDescent="0.15">
      <c r="A257" s="2" t="s">
        <v>337</v>
      </c>
      <c r="B257" s="5">
        <v>550</v>
      </c>
      <c r="C257" s="5">
        <v>50</v>
      </c>
      <c r="D257" s="5">
        <v>1.1000000000000001</v>
      </c>
      <c r="E257" s="5">
        <v>0.2</v>
      </c>
      <c r="F257" s="5" t="s">
        <v>334</v>
      </c>
      <c r="G257" s="2" t="s">
        <v>338</v>
      </c>
      <c r="H257" s="2" t="s">
        <v>83</v>
      </c>
      <c r="I257" s="2" t="s">
        <v>12</v>
      </c>
      <c r="J257" s="2" t="s">
        <v>22</v>
      </c>
      <c r="L257" s="2" t="s">
        <v>529</v>
      </c>
    </row>
    <row r="258" spans="1:12" x14ac:dyDescent="0.15">
      <c r="A258" s="2" t="s">
        <v>337</v>
      </c>
      <c r="B258" s="5">
        <v>650</v>
      </c>
      <c r="C258" s="5">
        <v>50</v>
      </c>
      <c r="D258" s="5">
        <v>1.2</v>
      </c>
      <c r="E258" s="5">
        <v>0.2</v>
      </c>
      <c r="F258" s="5" t="s">
        <v>334</v>
      </c>
      <c r="G258" s="2" t="s">
        <v>338</v>
      </c>
      <c r="H258" s="2" t="s">
        <v>83</v>
      </c>
      <c r="I258" s="2" t="s">
        <v>48</v>
      </c>
      <c r="J258" s="2" t="s">
        <v>22</v>
      </c>
      <c r="L258" s="2" t="s">
        <v>529</v>
      </c>
    </row>
    <row r="259" spans="1:12" ht="14" x14ac:dyDescent="0.15">
      <c r="A259" s="2" t="s">
        <v>339</v>
      </c>
      <c r="B259" s="5">
        <v>690</v>
      </c>
      <c r="C259" s="5">
        <v>40</v>
      </c>
      <c r="D259" s="5">
        <v>1</v>
      </c>
      <c r="E259" s="5">
        <v>0.2</v>
      </c>
      <c r="F259" s="5" t="s">
        <v>334</v>
      </c>
      <c r="G259" s="2" t="s">
        <v>338</v>
      </c>
      <c r="H259" s="2" t="s">
        <v>83</v>
      </c>
      <c r="I259" s="2" t="s">
        <v>48</v>
      </c>
      <c r="J259" s="2" t="s">
        <v>22</v>
      </c>
      <c r="L259" s="3" t="s">
        <v>530</v>
      </c>
    </row>
    <row r="260" spans="1:12" x14ac:dyDescent="0.15">
      <c r="A260" s="2" t="s">
        <v>340</v>
      </c>
      <c r="B260" s="6">
        <v>540</v>
      </c>
      <c r="C260" s="6">
        <v>40</v>
      </c>
      <c r="D260" s="7">
        <v>1.4</v>
      </c>
      <c r="E260" s="7">
        <v>0.1</v>
      </c>
      <c r="F260" s="5" t="s">
        <v>334</v>
      </c>
      <c r="G260" s="2" t="s">
        <v>341</v>
      </c>
      <c r="H260" s="2" t="s">
        <v>11</v>
      </c>
      <c r="I260" s="2" t="s">
        <v>162</v>
      </c>
      <c r="J260" s="2" t="s">
        <v>25</v>
      </c>
      <c r="L260" s="2" t="s">
        <v>531</v>
      </c>
    </row>
    <row r="261" spans="1:12" x14ac:dyDescent="0.15">
      <c r="A261" s="2" t="s">
        <v>342</v>
      </c>
      <c r="B261" s="6">
        <v>450</v>
      </c>
      <c r="C261" s="6">
        <v>40</v>
      </c>
      <c r="D261" s="7">
        <v>0.9</v>
      </c>
      <c r="E261" s="7">
        <v>0.4</v>
      </c>
      <c r="F261" s="5" t="s">
        <v>334</v>
      </c>
      <c r="G261" s="2" t="s">
        <v>343</v>
      </c>
      <c r="H261" s="2" t="s">
        <v>11</v>
      </c>
      <c r="I261" s="2" t="s">
        <v>162</v>
      </c>
      <c r="J261" s="2" t="s">
        <v>22</v>
      </c>
      <c r="L261" s="2" t="s">
        <v>532</v>
      </c>
    </row>
    <row r="262" spans="1:12" x14ac:dyDescent="0.15">
      <c r="A262" s="2" t="s">
        <v>342</v>
      </c>
      <c r="B262" s="6">
        <v>550</v>
      </c>
      <c r="C262" s="6">
        <v>40</v>
      </c>
      <c r="D262" s="7">
        <v>2</v>
      </c>
      <c r="E262" s="7">
        <v>0.1</v>
      </c>
      <c r="F262" s="5" t="s">
        <v>334</v>
      </c>
      <c r="G262" s="2" t="s">
        <v>343</v>
      </c>
      <c r="H262" s="2" t="s">
        <v>11</v>
      </c>
      <c r="I262" s="2" t="s">
        <v>162</v>
      </c>
      <c r="J262" s="2" t="s">
        <v>22</v>
      </c>
      <c r="L262" s="2" t="s">
        <v>532</v>
      </c>
    </row>
    <row r="263" spans="1:12" x14ac:dyDescent="0.15">
      <c r="A263" s="2" t="s">
        <v>344</v>
      </c>
      <c r="B263" s="6">
        <v>190</v>
      </c>
      <c r="C263" s="6">
        <v>40</v>
      </c>
      <c r="D263" s="7">
        <v>0.3</v>
      </c>
      <c r="E263" s="7">
        <v>0.1</v>
      </c>
      <c r="F263" s="5" t="s">
        <v>334</v>
      </c>
      <c r="G263" s="2" t="s">
        <v>345</v>
      </c>
      <c r="H263" s="2" t="s">
        <v>11</v>
      </c>
      <c r="I263" s="2" t="s">
        <v>12</v>
      </c>
      <c r="J263" s="2" t="s">
        <v>25</v>
      </c>
      <c r="L263" s="2" t="s">
        <v>533</v>
      </c>
    </row>
    <row r="264" spans="1:12" x14ac:dyDescent="0.15">
      <c r="A264" s="2" t="s">
        <v>346</v>
      </c>
      <c r="B264" s="6">
        <v>215</v>
      </c>
      <c r="C264" s="6">
        <v>40</v>
      </c>
      <c r="D264" s="7">
        <v>0.8</v>
      </c>
      <c r="E264" s="7">
        <v>0.1</v>
      </c>
      <c r="F264" s="5" t="s">
        <v>334</v>
      </c>
      <c r="G264" s="2" t="s">
        <v>347</v>
      </c>
      <c r="H264" s="2" t="s">
        <v>11</v>
      </c>
      <c r="I264" s="2" t="s">
        <v>12</v>
      </c>
      <c r="L264" s="2" t="s">
        <v>534</v>
      </c>
    </row>
    <row r="265" spans="1:12" x14ac:dyDescent="0.15">
      <c r="A265" s="2" t="s">
        <v>348</v>
      </c>
      <c r="B265" s="6">
        <v>490</v>
      </c>
      <c r="C265" s="6">
        <v>70</v>
      </c>
      <c r="D265" s="7">
        <v>1.8</v>
      </c>
      <c r="E265" s="7">
        <v>0.2</v>
      </c>
      <c r="F265" s="5" t="s">
        <v>334</v>
      </c>
      <c r="G265" s="2" t="s">
        <v>349</v>
      </c>
      <c r="H265" s="2" t="s">
        <v>11</v>
      </c>
      <c r="I265" s="2" t="s">
        <v>162</v>
      </c>
      <c r="J265" s="2" t="s">
        <v>13</v>
      </c>
      <c r="L265" s="2" t="s">
        <v>535</v>
      </c>
    </row>
    <row r="266" spans="1:12" x14ac:dyDescent="0.15">
      <c r="A266" s="2" t="s">
        <v>348</v>
      </c>
      <c r="B266" s="6">
        <v>585</v>
      </c>
      <c r="C266" s="6">
        <v>40</v>
      </c>
      <c r="D266" s="7">
        <v>2.35</v>
      </c>
      <c r="E266" s="7">
        <v>0.15</v>
      </c>
      <c r="F266" s="5" t="s">
        <v>334</v>
      </c>
      <c r="G266" s="2" t="s">
        <v>349</v>
      </c>
      <c r="H266" s="2" t="s">
        <v>11</v>
      </c>
      <c r="I266" s="2" t="s">
        <v>162</v>
      </c>
      <c r="J266" s="2" t="s">
        <v>13</v>
      </c>
      <c r="L266" s="2" t="s">
        <v>535</v>
      </c>
    </row>
    <row r="267" spans="1:12" x14ac:dyDescent="0.15">
      <c r="A267" s="2" t="s">
        <v>350</v>
      </c>
      <c r="B267" s="6">
        <v>270</v>
      </c>
      <c r="C267" s="6">
        <v>40</v>
      </c>
      <c r="D267" s="7">
        <v>1</v>
      </c>
      <c r="E267" s="7">
        <v>0.1</v>
      </c>
      <c r="F267" s="5" t="s">
        <v>334</v>
      </c>
      <c r="G267" s="2" t="s">
        <v>351</v>
      </c>
      <c r="H267" s="2" t="s">
        <v>11</v>
      </c>
      <c r="I267" s="2" t="s">
        <v>12</v>
      </c>
      <c r="J267" s="2" t="s">
        <v>25</v>
      </c>
      <c r="L267" s="2" t="s">
        <v>536</v>
      </c>
    </row>
    <row r="268" spans="1:12" x14ac:dyDescent="0.15">
      <c r="A268" s="2" t="s">
        <v>352</v>
      </c>
      <c r="B268" s="5">
        <v>485</v>
      </c>
      <c r="C268" s="5">
        <v>40</v>
      </c>
      <c r="D268" s="5">
        <v>1.8</v>
      </c>
      <c r="E268" s="5">
        <v>0.2</v>
      </c>
      <c r="F268" s="5" t="s">
        <v>353</v>
      </c>
      <c r="G268" s="2" t="s">
        <v>354</v>
      </c>
      <c r="H268" s="2" t="s">
        <v>83</v>
      </c>
      <c r="I268" s="2" t="s">
        <v>162</v>
      </c>
      <c r="J268" s="2" t="s">
        <v>265</v>
      </c>
      <c r="L268" s="2" t="s">
        <v>537</v>
      </c>
    </row>
    <row r="269" spans="1:12" x14ac:dyDescent="0.15">
      <c r="A269" s="2" t="s">
        <v>352</v>
      </c>
      <c r="B269" s="5">
        <v>640</v>
      </c>
      <c r="C269" s="5">
        <v>40</v>
      </c>
      <c r="D269" s="5">
        <v>1.9</v>
      </c>
      <c r="E269" s="5">
        <v>0.15</v>
      </c>
      <c r="F269" s="5" t="s">
        <v>353</v>
      </c>
      <c r="G269" s="2" t="s">
        <v>354</v>
      </c>
      <c r="H269" s="2" t="s">
        <v>83</v>
      </c>
      <c r="I269" s="2" t="s">
        <v>162</v>
      </c>
      <c r="J269" s="2" t="s">
        <v>265</v>
      </c>
      <c r="L269" s="2" t="s">
        <v>537</v>
      </c>
    </row>
    <row r="270" spans="1:12" x14ac:dyDescent="0.15">
      <c r="A270" s="2" t="s">
        <v>355</v>
      </c>
      <c r="B270" s="5">
        <v>550</v>
      </c>
      <c r="C270" s="5">
        <v>50</v>
      </c>
      <c r="D270" s="5">
        <v>1.2</v>
      </c>
      <c r="E270" s="5">
        <v>0.2</v>
      </c>
      <c r="F270" s="5" t="s">
        <v>353</v>
      </c>
      <c r="G270" s="2" t="s">
        <v>356</v>
      </c>
      <c r="H270" s="2" t="s">
        <v>83</v>
      </c>
      <c r="I270" s="2" t="s">
        <v>12</v>
      </c>
      <c r="L270" s="2" t="s">
        <v>538</v>
      </c>
    </row>
    <row r="271" spans="1:12" x14ac:dyDescent="0.15">
      <c r="A271" s="2" t="s">
        <v>357</v>
      </c>
      <c r="B271" s="5">
        <v>500</v>
      </c>
      <c r="C271" s="5">
        <v>100</v>
      </c>
      <c r="D271" s="5">
        <v>0.6</v>
      </c>
      <c r="E271" s="5">
        <v>0.1</v>
      </c>
      <c r="F271" s="5" t="s">
        <v>353</v>
      </c>
      <c r="G271" s="2" t="s">
        <v>358</v>
      </c>
      <c r="H271" s="2" t="s">
        <v>83</v>
      </c>
      <c r="I271" s="2" t="s">
        <v>12</v>
      </c>
      <c r="J271" s="2" t="s">
        <v>265</v>
      </c>
      <c r="L271" s="2" t="s">
        <v>539</v>
      </c>
    </row>
    <row r="272" spans="1:12" x14ac:dyDescent="0.15">
      <c r="A272" s="2" t="s">
        <v>357</v>
      </c>
      <c r="B272" s="5">
        <v>337.5</v>
      </c>
      <c r="C272" s="5">
        <v>40</v>
      </c>
      <c r="D272" s="5">
        <v>0.65</v>
      </c>
      <c r="E272" s="5">
        <v>0.1</v>
      </c>
      <c r="F272" s="5" t="s">
        <v>353</v>
      </c>
      <c r="G272" s="2" t="s">
        <v>358</v>
      </c>
      <c r="H272" s="2" t="s">
        <v>83</v>
      </c>
      <c r="I272" s="2" t="s">
        <v>12</v>
      </c>
      <c r="J272" s="2" t="s">
        <v>265</v>
      </c>
      <c r="L272" s="2" t="s">
        <v>539</v>
      </c>
    </row>
    <row r="273" spans="1:12" x14ac:dyDescent="0.15">
      <c r="A273" s="2" t="s">
        <v>359</v>
      </c>
      <c r="B273" s="6">
        <v>580</v>
      </c>
      <c r="C273" s="6">
        <v>40</v>
      </c>
      <c r="D273" s="7">
        <v>2.7</v>
      </c>
      <c r="E273" s="7">
        <v>0.2</v>
      </c>
      <c r="F273" s="5" t="s">
        <v>360</v>
      </c>
      <c r="G273" s="2" t="s">
        <v>361</v>
      </c>
      <c r="H273" s="2" t="s">
        <v>11</v>
      </c>
      <c r="I273" s="2" t="s">
        <v>12</v>
      </c>
      <c r="J273" s="2" t="s">
        <v>375</v>
      </c>
      <c r="L273" s="2" t="s">
        <v>540</v>
      </c>
    </row>
    <row r="274" spans="1:12" ht="14" x14ac:dyDescent="0.15">
      <c r="A274" s="2" t="s">
        <v>362</v>
      </c>
      <c r="B274" s="6">
        <v>520</v>
      </c>
      <c r="C274" s="6">
        <v>40</v>
      </c>
      <c r="D274" s="7">
        <v>2.4500000000000002</v>
      </c>
      <c r="E274" s="7">
        <v>0.1</v>
      </c>
      <c r="F274" s="5" t="s">
        <v>191</v>
      </c>
      <c r="G274" s="2" t="s">
        <v>214</v>
      </c>
      <c r="H274" s="2" t="s">
        <v>83</v>
      </c>
      <c r="I274" s="2" t="s">
        <v>12</v>
      </c>
      <c r="J274" s="2" t="s">
        <v>17</v>
      </c>
      <c r="L274" s="3" t="s">
        <v>541</v>
      </c>
    </row>
    <row r="275" spans="1:12" x14ac:dyDescent="0.15">
      <c r="A275" s="2" t="s">
        <v>362</v>
      </c>
      <c r="B275" s="6">
        <v>522</v>
      </c>
      <c r="C275" s="6">
        <v>40</v>
      </c>
      <c r="D275" s="7">
        <v>2.4</v>
      </c>
      <c r="E275" s="7">
        <v>0.1</v>
      </c>
      <c r="F275" s="5" t="s">
        <v>191</v>
      </c>
      <c r="G275" s="2" t="s">
        <v>214</v>
      </c>
      <c r="H275" s="2" t="s">
        <v>83</v>
      </c>
      <c r="I275" s="2" t="s">
        <v>12</v>
      </c>
      <c r="J275" s="2" t="s">
        <v>17</v>
      </c>
      <c r="L275" s="2" t="s">
        <v>541</v>
      </c>
    </row>
    <row r="276" spans="1:12" x14ac:dyDescent="0.15">
      <c r="A276" s="2" t="s">
        <v>362</v>
      </c>
      <c r="B276" s="6">
        <v>460</v>
      </c>
      <c r="C276" s="6">
        <v>40</v>
      </c>
      <c r="D276" s="7">
        <v>1.85</v>
      </c>
      <c r="E276" s="7">
        <v>0.1</v>
      </c>
      <c r="F276" s="5" t="s">
        <v>191</v>
      </c>
      <c r="G276" s="2" t="s">
        <v>214</v>
      </c>
      <c r="H276" s="2" t="s">
        <v>83</v>
      </c>
      <c r="I276" s="2" t="s">
        <v>12</v>
      </c>
      <c r="J276" s="2" t="s">
        <v>17</v>
      </c>
      <c r="L276" s="2" t="s">
        <v>541</v>
      </c>
    </row>
    <row r="277" spans="1:12" x14ac:dyDescent="0.15">
      <c r="A277" s="2" t="s">
        <v>363</v>
      </c>
      <c r="B277" s="6">
        <v>512</v>
      </c>
      <c r="C277" s="6">
        <v>40</v>
      </c>
      <c r="D277" s="7">
        <v>2.4</v>
      </c>
      <c r="E277" s="7">
        <v>0.1</v>
      </c>
      <c r="F277" s="5" t="s">
        <v>191</v>
      </c>
      <c r="G277" s="2" t="s">
        <v>214</v>
      </c>
      <c r="H277" s="2" t="s">
        <v>83</v>
      </c>
      <c r="I277" s="2" t="s">
        <v>12</v>
      </c>
      <c r="J277" s="2" t="s">
        <v>17</v>
      </c>
      <c r="L277" s="2" t="s">
        <v>542</v>
      </c>
    </row>
    <row r="278" spans="1:12" ht="14" x14ac:dyDescent="0.15">
      <c r="A278" s="2" t="s">
        <v>364</v>
      </c>
      <c r="B278" s="6">
        <v>550</v>
      </c>
      <c r="C278" s="6">
        <v>40</v>
      </c>
      <c r="D278" s="7">
        <v>2.2999999999999998</v>
      </c>
      <c r="E278" s="7">
        <v>0.1</v>
      </c>
      <c r="F278" s="5" t="s">
        <v>191</v>
      </c>
      <c r="G278" s="2" t="s">
        <v>365</v>
      </c>
      <c r="H278" s="2" t="s">
        <v>83</v>
      </c>
      <c r="I278" s="2" t="s">
        <v>12</v>
      </c>
      <c r="J278" s="2" t="s">
        <v>17</v>
      </c>
      <c r="L278" s="3" t="s">
        <v>543</v>
      </c>
    </row>
    <row r="279" spans="1:12" ht="14" x14ac:dyDescent="0.15">
      <c r="A279" s="2" t="s">
        <v>366</v>
      </c>
      <c r="B279" s="6">
        <v>510</v>
      </c>
      <c r="C279" s="6">
        <v>40</v>
      </c>
      <c r="D279" s="7">
        <v>1.9</v>
      </c>
      <c r="E279" s="7">
        <v>0.1</v>
      </c>
      <c r="F279" s="5" t="s">
        <v>309</v>
      </c>
      <c r="G279" s="2" t="s">
        <v>367</v>
      </c>
      <c r="H279" s="2" t="s">
        <v>83</v>
      </c>
      <c r="I279" s="2" t="s">
        <v>12</v>
      </c>
      <c r="J279" s="2" t="s">
        <v>17</v>
      </c>
      <c r="L279" s="3" t="s">
        <v>544</v>
      </c>
    </row>
    <row r="280" spans="1:12" x14ac:dyDescent="0.15">
      <c r="A280" s="2" t="s">
        <v>366</v>
      </c>
      <c r="B280" s="6">
        <v>545</v>
      </c>
      <c r="C280" s="6">
        <v>55</v>
      </c>
      <c r="D280" s="7">
        <v>2.2000000000000002</v>
      </c>
      <c r="E280" s="7">
        <v>0.3</v>
      </c>
      <c r="F280" s="5" t="s">
        <v>309</v>
      </c>
      <c r="G280" s="2" t="s">
        <v>367</v>
      </c>
      <c r="H280" s="2" t="s">
        <v>83</v>
      </c>
      <c r="I280" s="2" t="s">
        <v>12</v>
      </c>
      <c r="J280" s="2" t="s">
        <v>17</v>
      </c>
      <c r="L280" s="2" t="s">
        <v>544</v>
      </c>
    </row>
    <row r="281" spans="1:12" ht="14" x14ac:dyDescent="0.15">
      <c r="A281" s="2" t="s">
        <v>368</v>
      </c>
      <c r="B281" s="6">
        <v>345</v>
      </c>
      <c r="C281" s="6">
        <v>40</v>
      </c>
      <c r="D281" s="7">
        <v>1.65</v>
      </c>
      <c r="E281" s="7">
        <v>0.15</v>
      </c>
      <c r="F281" s="5" t="s">
        <v>369</v>
      </c>
      <c r="G281" s="2" t="s">
        <v>370</v>
      </c>
      <c r="H281" s="2" t="s">
        <v>83</v>
      </c>
      <c r="I281" s="2" t="s">
        <v>12</v>
      </c>
      <c r="J281" s="2" t="s">
        <v>17</v>
      </c>
      <c r="L281" s="3" t="s">
        <v>545</v>
      </c>
    </row>
    <row r="282" spans="1:12" x14ac:dyDescent="0.15">
      <c r="A282" s="2" t="s">
        <v>371</v>
      </c>
      <c r="B282" s="6">
        <v>425</v>
      </c>
      <c r="C282" s="6">
        <v>40</v>
      </c>
      <c r="D282" s="7">
        <v>0.9</v>
      </c>
      <c r="E282" s="7">
        <v>0.2</v>
      </c>
      <c r="F282" s="5" t="s">
        <v>334</v>
      </c>
      <c r="G282" s="2" t="s">
        <v>372</v>
      </c>
      <c r="H282" s="2" t="s">
        <v>83</v>
      </c>
      <c r="I282" s="2" t="s">
        <v>12</v>
      </c>
      <c r="J282" s="2" t="s">
        <v>25</v>
      </c>
      <c r="L282" s="2" t="s">
        <v>546</v>
      </c>
    </row>
    <row r="283" spans="1:12" ht="14" x14ac:dyDescent="0.15">
      <c r="A283" s="2" t="s">
        <v>373</v>
      </c>
      <c r="B283" s="6">
        <v>505</v>
      </c>
      <c r="C283" s="6">
        <v>40</v>
      </c>
      <c r="D283" s="7">
        <v>2.4</v>
      </c>
      <c r="E283" s="7">
        <v>0.2</v>
      </c>
      <c r="F283" s="5" t="s">
        <v>120</v>
      </c>
      <c r="G283" s="2" t="s">
        <v>374</v>
      </c>
      <c r="H283" s="2" t="s">
        <v>83</v>
      </c>
      <c r="I283" s="2" t="s">
        <v>12</v>
      </c>
      <c r="J283" s="2" t="s">
        <v>375</v>
      </c>
      <c r="L283" s="3" t="s">
        <v>547</v>
      </c>
    </row>
    <row r="284" spans="1:12" x14ac:dyDescent="0.15">
      <c r="A284" s="2" t="s">
        <v>373</v>
      </c>
      <c r="B284" s="6">
        <v>550</v>
      </c>
      <c r="C284" s="6">
        <v>40</v>
      </c>
      <c r="D284" s="7">
        <v>2.15</v>
      </c>
      <c r="E284" s="7">
        <v>0.15</v>
      </c>
      <c r="F284" s="5" t="s">
        <v>120</v>
      </c>
      <c r="G284" s="2" t="s">
        <v>374</v>
      </c>
      <c r="H284" s="2" t="s">
        <v>83</v>
      </c>
      <c r="I284" s="2" t="s">
        <v>12</v>
      </c>
      <c r="J284" s="2" t="s">
        <v>375</v>
      </c>
      <c r="L284" s="2" t="s">
        <v>547</v>
      </c>
    </row>
    <row r="285" spans="1:12" x14ac:dyDescent="0.15">
      <c r="A285" s="2" t="s">
        <v>373</v>
      </c>
      <c r="B285" s="6">
        <v>495</v>
      </c>
      <c r="C285" s="6">
        <v>40</v>
      </c>
      <c r="D285" s="7">
        <v>1.85</v>
      </c>
      <c r="E285" s="7">
        <v>0.2</v>
      </c>
      <c r="F285" s="5" t="s">
        <v>120</v>
      </c>
      <c r="G285" s="2" t="s">
        <v>374</v>
      </c>
      <c r="H285" s="2" t="s">
        <v>83</v>
      </c>
      <c r="I285" s="2" t="s">
        <v>12</v>
      </c>
      <c r="J285" s="2" t="s">
        <v>375</v>
      </c>
      <c r="L285" s="2" t="s">
        <v>547</v>
      </c>
    </row>
    <row r="286" spans="1:12" ht="6" customHeight="1" thickBot="1" x14ac:dyDescent="0.2">
      <c r="A286" s="18"/>
      <c r="B286" s="19"/>
      <c r="C286" s="19"/>
      <c r="D286" s="20"/>
      <c r="E286" s="20"/>
      <c r="F286" s="21"/>
      <c r="G286" s="18"/>
      <c r="H286" s="18"/>
      <c r="I286" s="18"/>
      <c r="J286" s="18"/>
      <c r="K286" s="18"/>
      <c r="L286" s="18"/>
    </row>
    <row r="287" spans="1:12" ht="14" thickTop="1" x14ac:dyDescent="0.15"/>
  </sheetData>
  <pageMargins left="0.7" right="0.7" top="0.75" bottom="0.75" header="0.3" footer="0.3"/>
  <pageSetup orientation="portrait" horizontalDpi="0" verticalDpi="0"/>
  <legacyDrawing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 User</dc:creator>
  <cp:lastModifiedBy>Microsoft Office User</cp:lastModifiedBy>
  <dcterms:created xsi:type="dcterms:W3CDTF">2021-04-07T17:31:38Z</dcterms:created>
  <dcterms:modified xsi:type="dcterms:W3CDTF">2021-06-30T19:48:54Z</dcterms:modified>
</cp:coreProperties>
</file>